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oshe\Downloads\"/>
    </mc:Choice>
  </mc:AlternateContent>
  <xr:revisionPtr revIDLastSave="0" documentId="13_ncr:1_{AF574FD4-1E2E-4B1F-8BB2-E966C1416D5F}" xr6:coauthVersionLast="47" xr6:coauthVersionMax="47" xr10:uidLastSave="{00000000-0000-0000-0000-000000000000}"/>
  <bookViews>
    <workbookView xWindow="-109" yWindow="-109" windowWidth="18775" windowHeight="9931" xr2:uid="{E5EECA4E-8251-C644-A640-6E72A882703D}"/>
  </bookViews>
  <sheets>
    <sheet name="Bonds" sheetId="1" r:id="rId1"/>
    <sheet name="Formul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2" i="1" l="1"/>
  <c r="E70" i="1"/>
  <c r="F70" i="1"/>
  <c r="G70" i="1"/>
  <c r="H70" i="1"/>
  <c r="I70" i="1"/>
  <c r="J70" i="1"/>
  <c r="K70" i="1"/>
  <c r="L70" i="1"/>
  <c r="M70" i="1"/>
  <c r="N70" i="1"/>
  <c r="E29" i="1"/>
  <c r="F29" i="1"/>
  <c r="G29" i="1"/>
  <c r="H29" i="1"/>
  <c r="I29" i="1"/>
  <c r="J29" i="1"/>
  <c r="K29" i="1"/>
  <c r="L29" i="1"/>
  <c r="M29" i="1"/>
  <c r="N29" i="1"/>
  <c r="N20" i="1"/>
  <c r="F20" i="1"/>
  <c r="G20" i="1"/>
  <c r="H20" i="1"/>
  <c r="I20" i="1"/>
  <c r="J20" i="1"/>
  <c r="K20" i="1"/>
  <c r="L20" i="1"/>
  <c r="M20" i="1"/>
  <c r="E20" i="1"/>
  <c r="D83" i="1"/>
  <c r="D26" i="1"/>
  <c r="D25" i="1"/>
  <c r="D30" i="1"/>
  <c r="D48" i="1"/>
  <c r="E30" i="1"/>
  <c r="F30" i="1"/>
  <c r="G30" i="1"/>
  <c r="H30" i="1"/>
  <c r="I30" i="1"/>
  <c r="J30" i="1"/>
  <c r="K30" i="1"/>
  <c r="L30" i="1"/>
  <c r="M30" i="1"/>
  <c r="E72" i="1"/>
  <c r="F72" i="1"/>
  <c r="G72" i="1"/>
  <c r="H72" i="1"/>
  <c r="I72" i="1"/>
  <c r="J72" i="1"/>
  <c r="K72" i="1"/>
  <c r="L72" i="1"/>
  <c r="M72" i="1"/>
  <c r="N72" i="1"/>
  <c r="E71" i="1"/>
  <c r="F71" i="1"/>
  <c r="G71" i="1"/>
  <c r="H71" i="1"/>
  <c r="I71" i="1"/>
  <c r="J71" i="1"/>
  <c r="K71" i="1"/>
  <c r="L71" i="1"/>
  <c r="M71" i="1"/>
  <c r="N71" i="1"/>
  <c r="E48" i="1"/>
  <c r="F48" i="1"/>
  <c r="G48" i="1"/>
  <c r="H48" i="1"/>
  <c r="I48" i="1"/>
  <c r="J48" i="1"/>
  <c r="K48" i="1"/>
  <c r="L48" i="1"/>
  <c r="M48" i="1"/>
  <c r="N48" i="1"/>
  <c r="G14" i="1"/>
  <c r="G17" i="1"/>
  <c r="G15" i="1"/>
  <c r="D23" i="1"/>
  <c r="N21" i="1"/>
  <c r="N73" i="1"/>
  <c r="N74" i="1"/>
  <c r="E73" i="1"/>
  <c r="E21" i="1"/>
  <c r="F21" i="1"/>
  <c r="G21" i="1"/>
  <c r="H21" i="1"/>
  <c r="I21" i="1"/>
  <c r="J21" i="1"/>
  <c r="K21" i="1"/>
  <c r="L21" i="1"/>
  <c r="M21" i="1"/>
  <c r="F73" i="1"/>
  <c r="E74" i="1"/>
  <c r="D24" i="1"/>
  <c r="G73" i="1"/>
  <c r="F74" i="1"/>
  <c r="H73" i="1"/>
  <c r="G74" i="1"/>
  <c r="I73" i="1"/>
  <c r="H74" i="1"/>
  <c r="J73" i="1"/>
  <c r="I74" i="1"/>
  <c r="K73" i="1"/>
  <c r="J74" i="1"/>
  <c r="L73" i="1"/>
  <c r="K74" i="1"/>
  <c r="M73" i="1"/>
  <c r="M74" i="1"/>
  <c r="L74" i="1"/>
  <c r="D75" i="1"/>
  <c r="L88" i="1"/>
  <c r="L112" i="1"/>
  <c r="F77" i="1"/>
  <c r="F104" i="1"/>
  <c r="G77" i="1"/>
  <c r="G78" i="1"/>
  <c r="K77" i="1"/>
  <c r="K78" i="1"/>
  <c r="M77" i="1"/>
  <c r="M78" i="1"/>
  <c r="I77" i="1"/>
  <c r="I104" i="1"/>
  <c r="L77" i="1"/>
  <c r="L78" i="1"/>
  <c r="E77" i="1"/>
  <c r="E78" i="1"/>
  <c r="J77" i="1"/>
  <c r="J78" i="1"/>
  <c r="N77" i="1"/>
  <c r="N78" i="1"/>
  <c r="H77" i="1"/>
  <c r="H78" i="1"/>
  <c r="K104" i="1"/>
  <c r="F78" i="1"/>
  <c r="I78" i="1"/>
  <c r="M104" i="1"/>
  <c r="N104" i="1"/>
  <c r="G104" i="1"/>
  <c r="L104" i="1"/>
  <c r="H104" i="1"/>
  <c r="J104" i="1"/>
  <c r="E104" i="1"/>
  <c r="D105" i="1"/>
  <c r="K111" i="1"/>
  <c r="D79" i="1"/>
  <c r="K88" i="1"/>
  <c r="D111" i="1"/>
  <c r="F111" i="1"/>
  <c r="H111" i="1"/>
  <c r="M111" i="1"/>
  <c r="J111" i="1"/>
  <c r="E111" i="1"/>
  <c r="G111" i="1"/>
  <c r="N111" i="1"/>
  <c r="I111" i="1"/>
  <c r="K112" i="1"/>
  <c r="M88" i="1"/>
  <c r="N88" i="1"/>
  <c r="J88" i="1"/>
  <c r="I88" i="1"/>
  <c r="H88" i="1"/>
  <c r="G88" i="1"/>
  <c r="F88" i="1"/>
  <c r="E88" i="1"/>
  <c r="D88" i="1"/>
  <c r="D80" i="1"/>
  <c r="J112" i="1"/>
  <c r="I112" i="1"/>
  <c r="H112" i="1"/>
  <c r="G112" i="1"/>
  <c r="F112" i="1"/>
  <c r="E112" i="1"/>
  <c r="D112" i="1"/>
  <c r="M112" i="1"/>
  <c r="N1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Elshahat, Ahmed</author>
  </authors>
  <commentList>
    <comment ref="A88" authorId="0" shapeId="0" xr:uid="{A6A5DFD7-74F4-A541-8984-AAC23B9A4139}">
      <text>
        <r>
          <rPr>
            <b/>
            <sz val="10"/>
            <color rgb="FF000000"/>
            <rFont val="Tahoma"/>
            <family val="2"/>
          </rPr>
          <t>Elshahat, Ahmed:</t>
        </r>
        <r>
          <rPr>
            <sz val="10"/>
            <color rgb="FF000000"/>
            <rFont val="Tahoma"/>
            <family val="2"/>
          </rPr>
          <t xml:space="preserve">
</t>
        </r>
        <r>
          <rPr>
            <sz val="10"/>
            <color rgb="FF000000"/>
            <rFont val="Tahoma"/>
            <family val="2"/>
          </rPr>
          <t>=1+Changes in YTM*Duration * Current Bond Price</t>
        </r>
      </text>
    </comment>
    <comment ref="A111" authorId="0" shapeId="0" xr:uid="{925EDD5E-59D9-4C56-8ECE-E88DB45046D2}">
      <text>
        <r>
          <rPr>
            <b/>
            <sz val="9"/>
            <color indexed="81"/>
            <rFont val="Tahoma"/>
            <family val="2"/>
          </rPr>
          <t>Elshahat, Ahmed:</t>
        </r>
        <r>
          <rPr>
            <sz val="9"/>
            <color indexed="81"/>
            <rFont val="Tahoma"/>
            <family val="2"/>
          </rPr>
          <t xml:space="preserve">
'=-Duration(Changes in YTM)+1/2 * Convexity * (changes in YTM)^2</t>
        </r>
      </text>
    </comment>
  </commentList>
</comments>
</file>

<file path=xl/sharedStrings.xml><?xml version="1.0" encoding="utf-8"?>
<sst xmlns="http://schemas.openxmlformats.org/spreadsheetml/2006/main" count="69" uniqueCount="54">
  <si>
    <t>N</t>
  </si>
  <si>
    <t>I/Y</t>
  </si>
  <si>
    <t>PV</t>
  </si>
  <si>
    <t>PMT</t>
  </si>
  <si>
    <t>FV</t>
  </si>
  <si>
    <t>*Periods to Maturity</t>
  </si>
  <si>
    <t>*Market discount rate (input) or Bond's yield.</t>
  </si>
  <si>
    <t>**Current Market Price</t>
  </si>
  <si>
    <t>** These two variables are lumpsum amounts.</t>
  </si>
  <si>
    <t>* These three variables are periodical variables (be consistent).</t>
  </si>
  <si>
    <t>Variables</t>
  </si>
  <si>
    <t>Input</t>
  </si>
  <si>
    <t>?</t>
  </si>
  <si>
    <t>Bonds Valuation Basics:</t>
  </si>
  <si>
    <t>1. Five Variables</t>
  </si>
  <si>
    <t>Period</t>
  </si>
  <si>
    <t>Cashflow</t>
  </si>
  <si>
    <t>Does that value make sense?</t>
  </si>
  <si>
    <r>
      <t xml:space="preserve">*coupon Payment per Period - </t>
    </r>
    <r>
      <rPr>
        <sz val="12"/>
        <color theme="9" tint="-0.249977111117893"/>
        <rFont val="Calibri (Body)"/>
      </rPr>
      <t>Default Semi-annual</t>
    </r>
  </si>
  <si>
    <r>
      <t xml:space="preserve">**Face (Par) Value - </t>
    </r>
    <r>
      <rPr>
        <sz val="12"/>
        <color theme="9" tint="-0.249977111117893"/>
        <rFont val="Calibri (Body)"/>
      </rPr>
      <t>Default is $1000</t>
    </r>
  </si>
  <si>
    <t>Or</t>
  </si>
  <si>
    <t>NPV</t>
  </si>
  <si>
    <t>Price</t>
  </si>
  <si>
    <t>Bond's Price</t>
  </si>
  <si>
    <t>Price over time:</t>
  </si>
  <si>
    <t>or (pros)</t>
  </si>
  <si>
    <t>4. Plot Bond's Price sensitivity to Market rate:</t>
  </si>
  <si>
    <t>3. Plot Bond's Price Over time:</t>
  </si>
  <si>
    <t>Bond's Par Value</t>
  </si>
  <si>
    <t>EAR</t>
  </si>
  <si>
    <t>2. Bond's Current Market Price &amp; EAR</t>
  </si>
  <si>
    <t>Valuation:</t>
  </si>
  <si>
    <t>Date</t>
  </si>
  <si>
    <t>Time (Years)</t>
  </si>
  <si>
    <t>PV of Cashflow</t>
  </si>
  <si>
    <t>Weight * Time</t>
  </si>
  <si>
    <t>Modified Duration</t>
  </si>
  <si>
    <t>Duration</t>
  </si>
  <si>
    <t>Using Timeline</t>
  </si>
  <si>
    <t>Using Function</t>
  </si>
  <si>
    <t>Bond Convexity</t>
  </si>
  <si>
    <t>Weight * (Time^2 + Time)</t>
  </si>
  <si>
    <t>Weight (Period's PV of CF/P)</t>
  </si>
  <si>
    <t>Bond Duration:</t>
  </si>
  <si>
    <t>Possible Market Rates (YTM)</t>
  </si>
  <si>
    <t>5. Compute/Plot the Bond's Duration, Modified Duration</t>
  </si>
  <si>
    <t>6. Compute/Plot Bond's Convexity Using Timeline:</t>
  </si>
  <si>
    <t>Plot Bond Prices at Different YTM Using Duration</t>
  </si>
  <si>
    <t>Bond's Price Based on Duration</t>
  </si>
  <si>
    <t>Plot Bond Prices at Different YTM Using Duration &amp; Convexity</t>
  </si>
  <si>
    <t>Price Change using Duration &amp; Convexity</t>
  </si>
  <si>
    <t>Prices using convexity</t>
  </si>
  <si>
    <t>=-Duration(Changes in YTM)+1/2 * Convexity * (changes in YTM)^2</t>
  </si>
  <si>
    <t>8 Fixed Income Sec Valuation.xlsx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</si>
</sst>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_(&quot;$&quot;* #,##0_);_(&quot;$&quot;* \(#,##0\);_(&quot;$&quot;* &quot;-&quot;??_);_(@_)"/>
    <numFmt numFmtId="165" formatCode="0.0"/>
    <numFmt numFmtId="166" formatCode="0.0%"/>
    <numFmt numFmtId="167" formatCode="_(&quot;$&quot;* #,##0.0_);_(&quot;$&quot;* \(#,##0.0\);_(&quot;$&quot;* &quot;-&quot;?_);_(@_)"/>
  </numFmts>
  <fonts count="12">
    <font>
      <sz val="12"/>
      <color theme="1"/>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
      <b/>
      <u/>
      <sz val="18"/>
      <color theme="1"/>
      <name val="Calibri"/>
      <family val="2"/>
      <scheme val="minor"/>
    </font>
    <font>
      <sz val="12"/>
      <color theme="9" tint="-0.249977111117893"/>
      <name val="Calibri (Body)"/>
    </font>
    <font>
      <b/>
      <sz val="10"/>
      <name val="Arial"/>
      <family val="2"/>
    </font>
    <font>
      <sz val="10"/>
      <color rgb="FF000000"/>
      <name val="Tahoma"/>
      <family val="2"/>
    </font>
    <font>
      <b/>
      <sz val="10"/>
      <color rgb="FF000000"/>
      <name val="Tahoma"/>
      <family val="2"/>
    </font>
    <font>
      <sz val="9"/>
      <color indexed="81"/>
      <name val="Tahoma"/>
      <family val="2"/>
    </font>
    <font>
      <b/>
      <sz val="9"/>
      <color indexed="81"/>
      <name val="Tahoma"/>
      <family val="2"/>
    </font>
    <font>
      <u/>
      <sz val="12"/>
      <color theme="1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15">
    <border>
      <left/>
      <right/>
      <top/>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indexed="64"/>
      </top>
      <bottom/>
      <diagonal/>
    </border>
    <border>
      <left/>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1" fillId="0" borderId="0" applyNumberFormat="0" applyFill="0" applyBorder="0" applyAlignment="0" applyProtection="0"/>
  </cellStyleXfs>
  <cellXfs count="52">
    <xf numFmtId="0" fontId="0" fillId="0" borderId="0" xfId="0"/>
    <xf numFmtId="0" fontId="3" fillId="0" borderId="0" xfId="0" applyFont="1"/>
    <xf numFmtId="0" fontId="4" fillId="0" borderId="0" xfId="0" applyFont="1"/>
    <xf numFmtId="0" fontId="0" fillId="0" borderId="0" xfId="0" applyAlignment="1">
      <alignment horizontal="center"/>
    </xf>
    <xf numFmtId="164" fontId="0" fillId="0" borderId="0" xfId="0" applyNumberFormat="1"/>
    <xf numFmtId="0" fontId="0" fillId="0" borderId="1" xfId="0" applyBorder="1"/>
    <xf numFmtId="8" fontId="0" fillId="0" borderId="0" xfId="0" applyNumberFormat="1"/>
    <xf numFmtId="0" fontId="2" fillId="0" borderId="2" xfId="0" applyFont="1" applyBorder="1" applyAlignment="1">
      <alignment horizontal="center"/>
    </xf>
    <xf numFmtId="0" fontId="2" fillId="0" borderId="3"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64" fontId="0" fillId="0" borderId="7" xfId="0" applyNumberFormat="1" applyBorder="1" applyAlignment="1">
      <alignment horizontal="center"/>
    </xf>
    <xf numFmtId="0" fontId="0" fillId="0" borderId="8" xfId="0" applyBorder="1" applyAlignment="1">
      <alignment horizontal="center"/>
    </xf>
    <xf numFmtId="164" fontId="0" fillId="0" borderId="9" xfId="1" applyNumberFormat="1" applyFont="1" applyBorder="1" applyAlignment="1">
      <alignment horizontal="center"/>
    </xf>
    <xf numFmtId="0" fontId="0" fillId="0" borderId="10" xfId="0" applyBorder="1"/>
    <xf numFmtId="0" fontId="0" fillId="0" borderId="11" xfId="0" applyBorder="1"/>
    <xf numFmtId="0" fontId="0" fillId="0" borderId="12" xfId="0" applyBorder="1"/>
    <xf numFmtId="14" fontId="0" fillId="0" borderId="1" xfId="0" applyNumberFormat="1" applyBorder="1" applyAlignment="1">
      <alignment horizontal="center"/>
    </xf>
    <xf numFmtId="2" fontId="0" fillId="0" borderId="0" xfId="0" applyNumberFormat="1"/>
    <xf numFmtId="44" fontId="0" fillId="0" borderId="0" xfId="1" applyFont="1"/>
    <xf numFmtId="166" fontId="0" fillId="0" borderId="0" xfId="0" applyNumberFormat="1"/>
    <xf numFmtId="167" fontId="0" fillId="0" borderId="0" xfId="1" applyNumberFormat="1" applyFont="1"/>
    <xf numFmtId="166" fontId="0" fillId="2" borderId="0" xfId="0" applyNumberFormat="1" applyFill="1"/>
    <xf numFmtId="167" fontId="0" fillId="2" borderId="0" xfId="1" applyNumberFormat="1" applyFont="1" applyFill="1"/>
    <xf numFmtId="6" fontId="0" fillId="0" borderId="0" xfId="0" applyNumberFormat="1"/>
    <xf numFmtId="166" fontId="0" fillId="0" borderId="0" xfId="2" applyNumberFormat="1" applyFont="1"/>
    <xf numFmtId="10" fontId="0" fillId="0" borderId="0" xfId="2" applyNumberFormat="1" applyFont="1"/>
    <xf numFmtId="0" fontId="6" fillId="0" borderId="0" xfId="0" applyFont="1"/>
    <xf numFmtId="1" fontId="0" fillId="0" borderId="0" xfId="0" applyNumberFormat="1" applyAlignment="1">
      <alignment horizontal="right"/>
    </xf>
    <xf numFmtId="0" fontId="0" fillId="0" borderId="1" xfId="0" applyBorder="1" applyAlignment="1">
      <alignment horizontal="right"/>
    </xf>
    <xf numFmtId="44" fontId="0" fillId="0" borderId="0" xfId="0" applyNumberFormat="1"/>
    <xf numFmtId="167" fontId="0" fillId="0" borderId="0" xfId="0" applyNumberFormat="1"/>
    <xf numFmtId="2" fontId="0" fillId="2" borderId="0" xfId="0" applyNumberFormat="1" applyFill="1"/>
    <xf numFmtId="0" fontId="0" fillId="0" borderId="4" xfId="0" applyBorder="1"/>
    <xf numFmtId="0" fontId="0" fillId="0" borderId="13" xfId="0" applyBorder="1"/>
    <xf numFmtId="0" fontId="0" fillId="0" borderId="8" xfId="0" applyBorder="1"/>
    <xf numFmtId="0" fontId="0" fillId="0" borderId="14" xfId="0" applyBorder="1"/>
    <xf numFmtId="165" fontId="0" fillId="2" borderId="0" xfId="0" applyNumberFormat="1" applyFill="1"/>
    <xf numFmtId="0" fontId="2" fillId="0" borderId="0" xfId="0" applyFont="1" applyAlignment="1">
      <alignment horizontal="center" wrapText="1"/>
    </xf>
    <xf numFmtId="6" fontId="0" fillId="0" borderId="0" xfId="1" applyNumberFormat="1" applyFont="1"/>
    <xf numFmtId="0" fontId="2" fillId="0" borderId="0" xfId="0" applyFont="1" applyAlignment="1">
      <alignment horizontal="left"/>
    </xf>
    <xf numFmtId="167" fontId="0" fillId="3" borderId="0" xfId="0" applyNumberFormat="1" applyFill="1"/>
    <xf numFmtId="0" fontId="0" fillId="0" borderId="0" xfId="0" quotePrefix="1" applyAlignment="1">
      <alignment horizontal="left"/>
    </xf>
    <xf numFmtId="0" fontId="0" fillId="0" borderId="0" xfId="0" quotePrefix="1"/>
    <xf numFmtId="9" fontId="0" fillId="0" borderId="0" xfId="2" applyFont="1"/>
    <xf numFmtId="166" fontId="0" fillId="3" borderId="0" xfId="0" applyNumberFormat="1" applyFill="1"/>
    <xf numFmtId="167" fontId="0" fillId="0" borderId="0" xfId="0" applyNumberFormat="1" applyAlignment="1">
      <alignment horizontal="center"/>
    </xf>
    <xf numFmtId="0" fontId="11" fillId="0" borderId="0" xfId="3"/>
    <xf numFmtId="0" fontId="2" fillId="0" borderId="0" xfId="0" applyFont="1" applyAlignment="1">
      <alignment horizontal="center" wrapText="1"/>
    </xf>
    <xf numFmtId="0" fontId="11" fillId="0" borderId="0" xfId="3" applyAlignment="1">
      <alignment horizontal="center"/>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Bond's Price Over time</c:v>
          </c:tx>
          <c:spPr>
            <a:ln w="190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Bonds!$D$29:$N$29</c:f>
              <c:numCache>
                <c:formatCode>m/d/yyyy</c:formatCode>
                <c:ptCount val="11"/>
                <c:pt idx="0">
                  <c:v>44927</c:v>
                </c:pt>
                <c:pt idx="1">
                  <c:v>45108</c:v>
                </c:pt>
                <c:pt idx="2">
                  <c:v>45292</c:v>
                </c:pt>
                <c:pt idx="3">
                  <c:v>45474</c:v>
                </c:pt>
                <c:pt idx="4">
                  <c:v>45658</c:v>
                </c:pt>
                <c:pt idx="5">
                  <c:v>45839</c:v>
                </c:pt>
                <c:pt idx="6">
                  <c:v>46023</c:v>
                </c:pt>
                <c:pt idx="7">
                  <c:v>46204</c:v>
                </c:pt>
                <c:pt idx="8">
                  <c:v>46388</c:v>
                </c:pt>
                <c:pt idx="9">
                  <c:v>46569</c:v>
                </c:pt>
                <c:pt idx="10">
                  <c:v>46753</c:v>
                </c:pt>
              </c:numCache>
            </c:numRef>
          </c:xVal>
          <c:yVal>
            <c:numRef>
              <c:f>Bonds!$D$30:$N$30</c:f>
              <c:numCache>
                <c:formatCode>_("$"* #,##0.00_);_("$"* \(#,##0.00\);_("$"* "-"??_);_(@_)</c:formatCode>
                <c:ptCount val="11"/>
                <c:pt idx="0">
                  <c:v>926.39912948585277</c:v>
                </c:pt>
                <c:pt idx="1">
                  <c:v>931.98307725500399</c:v>
                </c:pt>
                <c:pt idx="2">
                  <c:v>937.90206189030414</c:v>
                </c:pt>
                <c:pt idx="3">
                  <c:v>944.17618560372239</c:v>
                </c:pt>
                <c:pt idx="4">
                  <c:v>950.82675673994584</c:v>
                </c:pt>
                <c:pt idx="5">
                  <c:v>957.87636214434258</c:v>
                </c:pt>
                <c:pt idx="6">
                  <c:v>965.34894387300324</c:v>
                </c:pt>
                <c:pt idx="7">
                  <c:v>973.26988050538353</c:v>
                </c:pt>
                <c:pt idx="8">
                  <c:v>981.66607333570653</c:v>
                </c:pt>
                <c:pt idx="9">
                  <c:v>990.56603773584902</c:v>
                </c:pt>
                <c:pt idx="10" formatCode="&quot;$&quot;#,##0_);[Red]\(&quot;$&quot;#,##0\)">
                  <c:v>1000</c:v>
                </c:pt>
              </c:numCache>
            </c:numRef>
          </c:yVal>
          <c:smooth val="1"/>
          <c:extLst>
            <c:ext xmlns:c16="http://schemas.microsoft.com/office/drawing/2014/chart" uri="{C3380CC4-5D6E-409C-BE32-E72D297353CC}">
              <c16:uniqueId val="{00000000-D0C0-5444-8AC0-3808A508E115}"/>
            </c:ext>
          </c:extLst>
        </c:ser>
        <c:dLbls>
          <c:showLegendKey val="0"/>
          <c:showVal val="0"/>
          <c:showCatName val="0"/>
          <c:showSerName val="0"/>
          <c:showPercent val="0"/>
          <c:showBubbleSize val="0"/>
        </c:dLbls>
        <c:axId val="1503482592"/>
        <c:axId val="1503488512"/>
      </c:scatterChart>
      <c:valAx>
        <c:axId val="1503482592"/>
        <c:scaling>
          <c:orientation val="minMax"/>
          <c:max val="47000"/>
          <c:min val="448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488512"/>
        <c:crosses val="autoZero"/>
        <c:crossBetween val="midCat"/>
      </c:valAx>
      <c:valAx>
        <c:axId val="15034885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482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Bond's Prices at Alternative</a:t>
            </a:r>
            <a:r>
              <a:rPr lang="en-US" baseline="0"/>
              <a:t> Market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Bond's Prices at Different Market Rates</c:v>
          </c:tx>
          <c:spPr>
            <a:ln w="190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Bonds!$B$47:$N$47</c:f>
              <c:numCache>
                <c:formatCode>General</c:formatCode>
                <c:ptCount val="13"/>
                <c:pt idx="2" formatCode="0.0%">
                  <c:v>0.08</c:v>
                </c:pt>
                <c:pt idx="3" formatCode="0.0%">
                  <c:v>8.5000000000000006E-2</c:v>
                </c:pt>
                <c:pt idx="4" formatCode="0.0%">
                  <c:v>0.09</c:v>
                </c:pt>
                <c:pt idx="5" formatCode="0.0%">
                  <c:v>9.5000000000000001E-2</c:v>
                </c:pt>
                <c:pt idx="6" formatCode="0.0%">
                  <c:v>0.1</c:v>
                </c:pt>
                <c:pt idx="7" formatCode="0.0%">
                  <c:v>0.105</c:v>
                </c:pt>
                <c:pt idx="8" formatCode="0.0%">
                  <c:v>0.11</c:v>
                </c:pt>
                <c:pt idx="9" formatCode="0.0%">
                  <c:v>0.115</c:v>
                </c:pt>
                <c:pt idx="10" formatCode="0.0%">
                  <c:v>0.12</c:v>
                </c:pt>
                <c:pt idx="11" formatCode="0.0%">
                  <c:v>0.125</c:v>
                </c:pt>
                <c:pt idx="12" formatCode="0.0%">
                  <c:v>0.13</c:v>
                </c:pt>
              </c:numCache>
            </c:numRef>
          </c:xVal>
          <c:yVal>
            <c:numRef>
              <c:f>Bonds!$B$48:$N$48</c:f>
              <c:numCache>
                <c:formatCode>General</c:formatCode>
                <c:ptCount val="13"/>
                <c:pt idx="2" formatCode="_(&quot;$&quot;* #,##0.0_);_(&quot;$&quot;* \(#,##0.0\);_(&quot;$&quot;* &quot;-&quot;?_);_(@_)">
                  <c:v>1081.10895779355</c:v>
                </c:pt>
                <c:pt idx="3" formatCode="_(&quot;$&quot;* #,##0.0_);_(&quot;$&quot;* \(#,##0.0\);_(&quot;$&quot;* &quot;-&quot;?_);_(@_)">
                  <c:v>1060.0816525317866</c:v>
                </c:pt>
                <c:pt idx="4" formatCode="_(&quot;$&quot;* #,##0.0_);_(&quot;$&quot;* \(#,##0.0\);_(&quot;$&quot;* &quot;-&quot;?_);_(@_)">
                  <c:v>1039.5635908855515</c:v>
                </c:pt>
                <c:pt idx="5" formatCode="_(&quot;$&quot;* #,##0.0_);_(&quot;$&quot;* \(#,##0.0\);_(&quot;$&quot;* &quot;-&quot;?_);_(@_)">
                  <c:v>1019.5408691678383</c:v>
                </c:pt>
                <c:pt idx="6" formatCode="_(&quot;$&quot;* #,##0.0_);_(&quot;$&quot;* \(#,##0.0\);_(&quot;$&quot;* &quot;-&quot;?_);_(@_)">
                  <c:v>1000</c:v>
                </c:pt>
                <c:pt idx="7" formatCode="_(&quot;$&quot;* #,##0.0_);_(&quot;$&quot;* \(#,##0.0\);_(&quot;$&quot;* &quot;-&quot;?_);_(@_)">
                  <c:v>980.92789881949341</c:v>
                </c:pt>
                <c:pt idx="8" formatCode="_(&quot;$&quot;* #,##0.0_);_(&quot;$&quot;* \(#,##0.0\);_(&quot;$&quot;* &quot;-&quot;?_);_(@_)">
                  <c:v>962.3118708570554</c:v>
                </c:pt>
                <c:pt idx="9" formatCode="_(&quot;$&quot;* #,##0.0_);_(&quot;$&quot;* \(#,##0.0\);_(&quot;$&quot;* &quot;-&quot;?_);_(@_)">
                  <c:v>944.139598565847</c:v>
                </c:pt>
                <c:pt idx="10" formatCode="_(&quot;$&quot;* #,##0.0_);_(&quot;$&quot;* \(#,##0.0\);_(&quot;$&quot;* &quot;-&quot;?_);_(@_)">
                  <c:v>926.39912948585277</c:v>
                </c:pt>
                <c:pt idx="11" formatCode="_(&quot;$&quot;* #,##0.0_);_(&quot;$&quot;* \(#,##0.0\);_(&quot;$&quot;* &quot;-&quot;?_);_(@_)">
                  <c:v>909.07886452742923</c:v>
                </c:pt>
                <c:pt idx="12" formatCode="_(&quot;$&quot;* #,##0.0_);_(&quot;$&quot;* \(#,##0.0\);_(&quot;$&quot;* &quot;-&quot;?_);_(@_)">
                  <c:v>892.167546658584</c:v>
                </c:pt>
              </c:numCache>
            </c:numRef>
          </c:yVal>
          <c:smooth val="1"/>
          <c:extLst>
            <c:ext xmlns:c16="http://schemas.microsoft.com/office/drawing/2014/chart" uri="{C3380CC4-5D6E-409C-BE32-E72D297353CC}">
              <c16:uniqueId val="{00000000-006A-B842-9901-0A0782BB10DF}"/>
            </c:ext>
          </c:extLst>
        </c:ser>
        <c:ser>
          <c:idx val="1"/>
          <c:order val="1"/>
          <c:tx>
            <c:v>Par Value</c:v>
          </c:tx>
          <c:spPr>
            <a:ln w="19050" cap="rnd">
              <a:solidFill>
                <a:schemeClr val="accent2"/>
              </a:solidFill>
              <a:round/>
            </a:ln>
            <a:effectLst/>
          </c:spPr>
          <c:marker>
            <c:symbol val="none"/>
          </c:marker>
          <c:xVal>
            <c:numRef>
              <c:f>Bonds!$D$47:$N$47</c:f>
              <c:numCache>
                <c:formatCode>0.0%</c:formatCode>
                <c:ptCount val="11"/>
                <c:pt idx="0">
                  <c:v>0.08</c:v>
                </c:pt>
                <c:pt idx="1">
                  <c:v>8.5000000000000006E-2</c:v>
                </c:pt>
                <c:pt idx="2">
                  <c:v>0.09</c:v>
                </c:pt>
                <c:pt idx="3">
                  <c:v>9.5000000000000001E-2</c:v>
                </c:pt>
                <c:pt idx="4">
                  <c:v>0.1</c:v>
                </c:pt>
                <c:pt idx="5">
                  <c:v>0.105</c:v>
                </c:pt>
                <c:pt idx="6">
                  <c:v>0.11</c:v>
                </c:pt>
                <c:pt idx="7">
                  <c:v>0.115</c:v>
                </c:pt>
                <c:pt idx="8">
                  <c:v>0.12</c:v>
                </c:pt>
                <c:pt idx="9">
                  <c:v>0.125</c:v>
                </c:pt>
                <c:pt idx="10">
                  <c:v>0.13</c:v>
                </c:pt>
              </c:numCache>
            </c:numRef>
          </c:xVal>
          <c:yVal>
            <c:numRef>
              <c:f>Bonds!$D$49:$N$49</c:f>
              <c:numCache>
                <c:formatCode>"$"#,##0_);[Red]\("$"#,##0\)</c:formatCode>
                <c:ptCount val="11"/>
                <c:pt idx="0">
                  <c:v>1000</c:v>
                </c:pt>
                <c:pt idx="1">
                  <c:v>1000</c:v>
                </c:pt>
                <c:pt idx="2">
                  <c:v>1000</c:v>
                </c:pt>
                <c:pt idx="3">
                  <c:v>1000</c:v>
                </c:pt>
                <c:pt idx="4">
                  <c:v>1000</c:v>
                </c:pt>
                <c:pt idx="5">
                  <c:v>1000</c:v>
                </c:pt>
                <c:pt idx="6">
                  <c:v>1000</c:v>
                </c:pt>
                <c:pt idx="7">
                  <c:v>1000</c:v>
                </c:pt>
                <c:pt idx="8">
                  <c:v>1000</c:v>
                </c:pt>
                <c:pt idx="9">
                  <c:v>1000</c:v>
                </c:pt>
                <c:pt idx="10">
                  <c:v>1000</c:v>
                </c:pt>
              </c:numCache>
            </c:numRef>
          </c:yVal>
          <c:smooth val="1"/>
          <c:extLst>
            <c:ext xmlns:c16="http://schemas.microsoft.com/office/drawing/2014/chart" uri="{C3380CC4-5D6E-409C-BE32-E72D297353CC}">
              <c16:uniqueId val="{00000002-006A-B842-9901-0A0782BB10DF}"/>
            </c:ext>
          </c:extLst>
        </c:ser>
        <c:dLbls>
          <c:showLegendKey val="0"/>
          <c:showVal val="0"/>
          <c:showCatName val="0"/>
          <c:showSerName val="0"/>
          <c:showPercent val="0"/>
          <c:showBubbleSize val="0"/>
        </c:dLbls>
        <c:axId val="1964762832"/>
        <c:axId val="1964439008"/>
      </c:scatterChart>
      <c:valAx>
        <c:axId val="1964762832"/>
        <c:scaling>
          <c:orientation val="minMax"/>
          <c:min val="7.5000000000000011E-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439008"/>
        <c:crosses val="autoZero"/>
        <c:crossBetween val="midCat"/>
        <c:majorUnit val="5.000000000000001E-3"/>
      </c:valAx>
      <c:valAx>
        <c:axId val="1964439008"/>
        <c:scaling>
          <c:orientation val="minMax"/>
          <c:min val="8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762832"/>
        <c:crosses val="autoZero"/>
        <c:crossBetween val="midCat"/>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Bonds!$A$88</c:f>
              <c:strCache>
                <c:ptCount val="1"/>
                <c:pt idx="0">
                  <c:v>Bond's Price Based on Duration</c:v>
                </c:pt>
              </c:strCache>
            </c:strRef>
          </c:tx>
          <c:spPr>
            <a:ln w="190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Bonds!$B$87:$N$87</c:f>
              <c:numCache>
                <c:formatCode>General</c:formatCode>
                <c:ptCount val="13"/>
                <c:pt idx="2" formatCode="0.0%">
                  <c:v>0.08</c:v>
                </c:pt>
                <c:pt idx="3" formatCode="0.0%">
                  <c:v>8.5000000000000006E-2</c:v>
                </c:pt>
                <c:pt idx="4" formatCode="0.0%">
                  <c:v>0.09</c:v>
                </c:pt>
                <c:pt idx="5" formatCode="0.0%">
                  <c:v>9.5000000000000001E-2</c:v>
                </c:pt>
                <c:pt idx="6" formatCode="0.0%">
                  <c:v>0.1</c:v>
                </c:pt>
                <c:pt idx="7" formatCode="0.0%">
                  <c:v>0.105</c:v>
                </c:pt>
                <c:pt idx="8" formatCode="0.0%">
                  <c:v>0.11</c:v>
                </c:pt>
                <c:pt idx="9" formatCode="0.0%">
                  <c:v>0.115</c:v>
                </c:pt>
                <c:pt idx="10" formatCode="0.0%">
                  <c:v>0.12</c:v>
                </c:pt>
                <c:pt idx="11" formatCode="0.0%">
                  <c:v>0.125</c:v>
                </c:pt>
                <c:pt idx="12" formatCode="0.0%">
                  <c:v>0.13</c:v>
                </c:pt>
              </c:numCache>
            </c:numRef>
          </c:xVal>
          <c:yVal>
            <c:numRef>
              <c:f>Bonds!$B$88:$N$88</c:f>
              <c:numCache>
                <c:formatCode>General</c:formatCode>
                <c:ptCount val="13"/>
                <c:pt idx="2" formatCode="_(&quot;$&quot;* #,##0.0_);_(&quot;$&quot;* \(#,##0.0\);_(&quot;$&quot;* &quot;-&quot;?_);_(@_)">
                  <c:v>1085.9039031421794</c:v>
                </c:pt>
                <c:pt idx="3" formatCode="_(&quot;$&quot;* #,##0.0_);_(&quot;$&quot;* \(#,##0.0\);_(&quot;$&quot;* &quot;-&quot;?_);_(@_)">
                  <c:v>1064.5528749858834</c:v>
                </c:pt>
                <c:pt idx="4" formatCode="_(&quot;$&quot;* #,##0.0_);_(&quot;$&quot;* \(#,##0.0\);_(&quot;$&quot;* &quot;-&quot;?_);_(@_)">
                  <c:v>1043.6216504623139</c:v>
                </c:pt>
                <c:pt idx="5" formatCode="_(&quot;$&quot;* #,##0.0_);_(&quot;$&quot;* \(#,##0.0\);_(&quot;$&quot;* &quot;-&quot;?_);_(@_)">
                  <c:v>1023.1019753980061</c:v>
                </c:pt>
                <c:pt idx="6" formatCode="_(&quot;$&quot;* #,##0.0_);_(&quot;$&quot;* \(#,##0.0\);_(&quot;$&quot;* &quot;-&quot;?_);_(@_)">
                  <c:v>1002.9857579129448</c:v>
                </c:pt>
                <c:pt idx="7" formatCode="_(&quot;$&quot;* #,##0.0_);_(&quot;$&quot;* \(#,##0.0\);_(&quot;$&quot;* &quot;-&quot;?_);_(@_)">
                  <c:v>983.26506522955253</c:v>
                </c:pt>
                <c:pt idx="8" formatCode="_(&quot;$&quot;* #,##0.0_);_(&quot;$&quot;* \(#,##0.0\);_(&quot;$&quot;* &quot;-&quot;?_);_(@_)">
                  <c:v>963.93212054441892</c:v>
                </c:pt>
                <c:pt idx="9" formatCode="_(&quot;$&quot;* #,##0.0_);_(&quot;$&quot;* \(#,##0.0\);_(&quot;$&quot;* &quot;-&quot;?_);_(@_)">
                  <c:v>944.9792999615396</c:v>
                </c:pt>
                <c:pt idx="10" formatCode="_(&quot;$&quot;* #,##0.0_);_(&quot;$&quot;* \(#,##0.0\);_(&quot;$&quot;* &quot;-&quot;?_);_(@_)">
                  <c:v>926.39912948585265</c:v>
                </c:pt>
                <c:pt idx="11" formatCode="_(&quot;$&quot;* #,##0.0_);_(&quot;$&quot;* \(#,##0.0\);_(&quot;$&quot;* &quot;-&quot;?_);_(@_)">
                  <c:v>907.8189590101656</c:v>
                </c:pt>
                <c:pt idx="12" formatCode="_(&quot;$&quot;* #,##0.0_);_(&quot;$&quot;* \(#,##0.0\);_(&quot;$&quot;* &quot;-&quot;?_);_(@_)">
                  <c:v>889.61143864167059</c:v>
                </c:pt>
              </c:numCache>
            </c:numRef>
          </c:yVal>
          <c:smooth val="1"/>
          <c:extLst>
            <c:ext xmlns:c16="http://schemas.microsoft.com/office/drawing/2014/chart" uri="{C3380CC4-5D6E-409C-BE32-E72D297353CC}">
              <c16:uniqueId val="{00000000-798E-9C4F-84C0-65BF66709C35}"/>
            </c:ext>
          </c:extLst>
        </c:ser>
        <c:dLbls>
          <c:showLegendKey val="0"/>
          <c:showVal val="0"/>
          <c:showCatName val="0"/>
          <c:showSerName val="0"/>
          <c:showPercent val="0"/>
          <c:showBubbleSize val="0"/>
        </c:dLbls>
        <c:axId val="1766998815"/>
        <c:axId val="1767493871"/>
      </c:scatterChart>
      <c:valAx>
        <c:axId val="1766998815"/>
        <c:scaling>
          <c:orientation val="minMax"/>
          <c:max val="0.13500000000000001"/>
          <c:min val="8.0000000000000016E-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93871"/>
        <c:crosses val="autoZero"/>
        <c:crossBetween val="midCat"/>
      </c:valAx>
      <c:valAx>
        <c:axId val="1767493871"/>
        <c:scaling>
          <c:orientation val="minMax"/>
          <c:max val="1100"/>
          <c:min val="8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98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Changing Bond's Prices </a:t>
            </a:r>
          </a:p>
          <a:p>
            <a:pPr>
              <a:defRPr/>
            </a:pPr>
            <a:r>
              <a:rPr lang="en-US"/>
              <a:t>Using Duration &amp;</a:t>
            </a:r>
            <a:r>
              <a:rPr lang="en-US" baseline="0"/>
              <a:t> Convexity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Bond's Prices</c:v>
          </c:tx>
          <c:spPr>
            <a:ln w="190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Bonds!$D$110:$N$110</c:f>
              <c:numCache>
                <c:formatCode>0.0%</c:formatCode>
                <c:ptCount val="11"/>
                <c:pt idx="0">
                  <c:v>0.08</c:v>
                </c:pt>
                <c:pt idx="1">
                  <c:v>8.5000000000000006E-2</c:v>
                </c:pt>
                <c:pt idx="2">
                  <c:v>0.09</c:v>
                </c:pt>
                <c:pt idx="3">
                  <c:v>9.5000000000000001E-2</c:v>
                </c:pt>
                <c:pt idx="4">
                  <c:v>0.1</c:v>
                </c:pt>
                <c:pt idx="5">
                  <c:v>0.105</c:v>
                </c:pt>
                <c:pt idx="6">
                  <c:v>0.11</c:v>
                </c:pt>
                <c:pt idx="7">
                  <c:v>0.115</c:v>
                </c:pt>
                <c:pt idx="8">
                  <c:v>0.12</c:v>
                </c:pt>
                <c:pt idx="9">
                  <c:v>0.125</c:v>
                </c:pt>
                <c:pt idx="10">
                  <c:v>0.13</c:v>
                </c:pt>
              </c:numCache>
            </c:numRef>
          </c:xVal>
          <c:yVal>
            <c:numRef>
              <c:f>Bonds!$D$112:$N$112</c:f>
              <c:numCache>
                <c:formatCode>_("$"* #,##0.0_);_("$"* \(#,##0.0\);_("$"* "-"?_);_(@_)</c:formatCode>
                <c:ptCount val="11"/>
                <c:pt idx="0">
                  <c:v>1088.0270858684985</c:v>
                </c:pt>
                <c:pt idx="1">
                  <c:v>1066.3739097325433</c:v>
                </c:pt>
                <c:pt idx="2">
                  <c:v>1045.151660402423</c:v>
                </c:pt>
                <c:pt idx="3">
                  <c:v>1024.3517618655085</c:v>
                </c:pt>
                <c:pt idx="4">
                  <c:v>1003.9658087831507</c:v>
                </c:pt>
                <c:pt idx="5">
                  <c:v>983.98556309404171</c:v>
                </c:pt>
                <c:pt idx="6">
                  <c:v>964.40295068517435</c:v>
                </c:pt>
                <c:pt idx="7">
                  <c:v>945.21005812905582</c:v>
                </c:pt>
                <c:pt idx="8">
                  <c:v>926.39912948585265</c:v>
                </c:pt>
                <c:pt idx="9">
                  <c:v>908.0497171776816</c:v>
                </c:pt>
                <c:pt idx="10">
                  <c:v>890.06375613078512</c:v>
                </c:pt>
              </c:numCache>
            </c:numRef>
          </c:yVal>
          <c:smooth val="1"/>
          <c:extLst>
            <c:ext xmlns:c16="http://schemas.microsoft.com/office/drawing/2014/chart" uri="{C3380CC4-5D6E-409C-BE32-E72D297353CC}">
              <c16:uniqueId val="{00000000-4AC6-8545-B36B-B1A474EE5ED2}"/>
            </c:ext>
          </c:extLst>
        </c:ser>
        <c:dLbls>
          <c:showLegendKey val="0"/>
          <c:showVal val="0"/>
          <c:showCatName val="0"/>
          <c:showSerName val="0"/>
          <c:showPercent val="0"/>
          <c:showBubbleSize val="0"/>
        </c:dLbls>
        <c:axId val="1950520991"/>
        <c:axId val="2077842255"/>
      </c:scatterChart>
      <c:valAx>
        <c:axId val="1950520991"/>
        <c:scaling>
          <c:orientation val="minMax"/>
          <c:max val="0.13500000000000001"/>
          <c:min val="7.5000000000000011E-2"/>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42255"/>
        <c:crosses val="autoZero"/>
        <c:crossBetween val="midCat"/>
        <c:majorUnit val="5.000000000000001E-3"/>
      </c:valAx>
      <c:valAx>
        <c:axId val="2077842255"/>
        <c:scaling>
          <c:orientation val="minMax"/>
          <c:max val="1100"/>
          <c:min val="880"/>
        </c:scaling>
        <c:delete val="0"/>
        <c:axPos val="l"/>
        <c:majorGridlines>
          <c:spPr>
            <a:ln w="9525" cap="flat" cmpd="sng" algn="ctr">
              <a:solidFill>
                <a:schemeClr val="tx1">
                  <a:lumMod val="15000"/>
                  <a:lumOff val="85000"/>
                </a:schemeClr>
              </a:solidFill>
              <a:round/>
            </a:ln>
            <a:effectLst/>
          </c:spPr>
        </c:majorGridlines>
        <c:numFmt formatCode="_(&quot;$&quot;* #,##0.0_);_(&quot;$&quot;* \(#,##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520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469900</xdr:colOff>
      <xdr:row>12</xdr:row>
      <xdr:rowOff>76200</xdr:rowOff>
    </xdr:from>
    <xdr:to>
      <xdr:col>4</xdr:col>
      <xdr:colOff>444500</xdr:colOff>
      <xdr:row>17</xdr:row>
      <xdr:rowOff>165100</xdr:rowOff>
    </xdr:to>
    <xdr:sp macro="" textlink="">
      <xdr:nvSpPr>
        <xdr:cNvPr id="2" name="TextBox 1">
          <a:extLst>
            <a:ext uri="{FF2B5EF4-FFF2-40B4-BE49-F238E27FC236}">
              <a16:creationId xmlns:a16="http://schemas.microsoft.com/office/drawing/2014/main" id="{7FAC65E4-17FD-47A4-7E05-E4E33157C8C7}"/>
            </a:ext>
          </a:extLst>
        </xdr:cNvPr>
        <xdr:cNvSpPr txBox="1"/>
      </xdr:nvSpPr>
      <xdr:spPr>
        <a:xfrm>
          <a:off x="469900" y="2781300"/>
          <a:ext cx="259080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Example</a:t>
          </a:r>
          <a:r>
            <a:rPr lang="en-US" sz="1400" b="1" baseline="0"/>
            <a:t> 1</a:t>
          </a:r>
          <a:r>
            <a:rPr lang="en-US" sz="1400" b="1"/>
            <a:t>: </a:t>
          </a:r>
          <a:r>
            <a:rPr lang="en-US" sz="1400"/>
            <a:t>What</a:t>
          </a:r>
          <a:r>
            <a:rPr lang="en-US" sz="1400" baseline="0"/>
            <a:t>'s the current market prices for a 10% coupon bond maturing in 5 years. Market interest rate for similar risky assets is 12%.</a:t>
          </a:r>
          <a:endParaRPr lang="en-US" sz="1400"/>
        </a:p>
      </xdr:txBody>
    </xdr:sp>
    <xdr:clientData/>
  </xdr:twoCellAnchor>
  <xdr:twoCellAnchor>
    <xdr:from>
      <xdr:col>6</xdr:col>
      <xdr:colOff>158750</xdr:colOff>
      <xdr:row>31</xdr:row>
      <xdr:rowOff>38100</xdr:rowOff>
    </xdr:from>
    <xdr:to>
      <xdr:col>12</xdr:col>
      <xdr:colOff>615950</xdr:colOff>
      <xdr:row>44</xdr:row>
      <xdr:rowOff>139700</xdr:rowOff>
    </xdr:to>
    <xdr:graphicFrame macro="">
      <xdr:nvGraphicFramePr>
        <xdr:cNvPr id="3" name="Chart 2">
          <a:extLst>
            <a:ext uri="{FF2B5EF4-FFF2-40B4-BE49-F238E27FC236}">
              <a16:creationId xmlns:a16="http://schemas.microsoft.com/office/drawing/2014/main" id="{4079BFCE-A2C7-761F-8EF7-671116065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291123</xdr:colOff>
      <xdr:row>49</xdr:row>
      <xdr:rowOff>185615</xdr:rowOff>
    </xdr:from>
    <xdr:to>
      <xdr:col>10</xdr:col>
      <xdr:colOff>664308</xdr:colOff>
      <xdr:row>62</xdr:row>
      <xdr:rowOff>134814</xdr:rowOff>
    </xdr:to>
    <xdr:graphicFrame macro="">
      <xdr:nvGraphicFramePr>
        <xdr:cNvPr id="4" name="Chart 3">
          <a:extLst>
            <a:ext uri="{FF2B5EF4-FFF2-40B4-BE49-F238E27FC236}">
              <a16:creationId xmlns:a16="http://schemas.microsoft.com/office/drawing/2014/main" id="{054240BB-82C9-4072-BF73-3FBC6A4F5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64</xdr:row>
      <xdr:rowOff>101600</xdr:rowOff>
    </xdr:from>
    <xdr:to>
      <xdr:col>13</xdr:col>
      <xdr:colOff>177800</xdr:colOff>
      <xdr:row>68</xdr:row>
      <xdr:rowOff>0</xdr:rowOff>
    </xdr:to>
    <xdr:sp macro="" textlink="">
      <xdr:nvSpPr>
        <xdr:cNvPr id="5" name="TextBox 4">
          <a:extLst>
            <a:ext uri="{FF2B5EF4-FFF2-40B4-BE49-F238E27FC236}">
              <a16:creationId xmlns:a16="http://schemas.microsoft.com/office/drawing/2014/main" id="{17A95F07-409D-8917-0978-BDE4D2B7517E}"/>
            </a:ext>
          </a:extLst>
        </xdr:cNvPr>
        <xdr:cNvSpPr txBox="1"/>
      </xdr:nvSpPr>
      <xdr:spPr>
        <a:xfrm>
          <a:off x="304800" y="4724400"/>
          <a:ext cx="9245600" cy="71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a:solidFill>
                <a:schemeClr val="dk1"/>
              </a:solidFill>
              <a:effectLst/>
              <a:latin typeface="+mn-lt"/>
              <a:ea typeface="+mn-ea"/>
              <a:cs typeface="+mn-cs"/>
            </a:rPr>
            <a:t>Duration measures how long it takes, in years, for an investor to be repaid a bond’s price by the bond’s total cash flows. Duration  also measure the sensitivity of a bond’s price to changes in interest rates. </a:t>
          </a:r>
          <a:r>
            <a:rPr lang="en-US" sz="1200" i="1">
              <a:solidFill>
                <a:schemeClr val="dk1"/>
              </a:solidFill>
              <a:effectLst/>
              <a:latin typeface="+mn-lt"/>
              <a:ea typeface="+mn-ea"/>
              <a:cs typeface="+mn-cs"/>
            </a:rPr>
            <a:t>(Macaulay's) duration is the weighted-average of the time until cash flows are received. The weights are based on the ratio of the present value of each cash flow over the present value of the total bond.</a:t>
          </a:r>
          <a:endParaRPr lang="en-US" sz="1200">
            <a:solidFill>
              <a:schemeClr val="dk1"/>
            </a:solidFill>
            <a:effectLst/>
            <a:latin typeface="+mn-lt"/>
            <a:ea typeface="+mn-ea"/>
            <a:cs typeface="+mn-cs"/>
          </a:endParaRPr>
        </a:p>
      </xdr:txBody>
    </xdr:sp>
    <xdr:clientData/>
  </xdr:twoCellAnchor>
  <xdr:twoCellAnchor>
    <xdr:from>
      <xdr:col>0</xdr:col>
      <xdr:colOff>88900</xdr:colOff>
      <xdr:row>105</xdr:row>
      <xdr:rowOff>165100</xdr:rowOff>
    </xdr:from>
    <xdr:to>
      <xdr:col>4</xdr:col>
      <xdr:colOff>673100</xdr:colOff>
      <xdr:row>107</xdr:row>
      <xdr:rowOff>50800</xdr:rowOff>
    </xdr:to>
    <xdr:sp macro="" textlink="">
      <xdr:nvSpPr>
        <xdr:cNvPr id="7" name="TextBox 6">
          <a:extLst>
            <a:ext uri="{FF2B5EF4-FFF2-40B4-BE49-F238E27FC236}">
              <a16:creationId xmlns:a16="http://schemas.microsoft.com/office/drawing/2014/main" id="{C477923D-5E13-420C-9BB8-046DB4D8B2EF}"/>
            </a:ext>
          </a:extLst>
        </xdr:cNvPr>
        <xdr:cNvSpPr txBox="1"/>
      </xdr:nvSpPr>
      <xdr:spPr>
        <a:xfrm>
          <a:off x="88900" y="9474200"/>
          <a:ext cx="33655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Sum [ Weight * (Time^2</a:t>
          </a:r>
          <a:r>
            <a:rPr lang="en-US" sz="1100" baseline="0"/>
            <a:t> +Time) ] / ((1+YTM/#PMT)^2)</a:t>
          </a:r>
          <a:endParaRPr lang="en-US" sz="1100"/>
        </a:p>
      </xdr:txBody>
    </xdr:sp>
    <xdr:clientData/>
  </xdr:twoCellAnchor>
  <xdr:twoCellAnchor>
    <xdr:from>
      <xdr:col>4</xdr:col>
      <xdr:colOff>435546</xdr:colOff>
      <xdr:row>88</xdr:row>
      <xdr:rowOff>158749</xdr:rowOff>
    </xdr:from>
    <xdr:to>
      <xdr:col>10</xdr:col>
      <xdr:colOff>681404</xdr:colOff>
      <xdr:row>100</xdr:row>
      <xdr:rowOff>133349</xdr:rowOff>
    </xdr:to>
    <xdr:graphicFrame macro="">
      <xdr:nvGraphicFramePr>
        <xdr:cNvPr id="8" name="Chart 7">
          <a:extLst>
            <a:ext uri="{FF2B5EF4-FFF2-40B4-BE49-F238E27FC236}">
              <a16:creationId xmlns:a16="http://schemas.microsoft.com/office/drawing/2014/main" id="{AD351D0C-014F-1B4A-4536-DC3C0DB45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87923</xdr:colOff>
      <xdr:row>112</xdr:row>
      <xdr:rowOff>103553</xdr:rowOff>
    </xdr:from>
    <xdr:to>
      <xdr:col>9</xdr:col>
      <xdr:colOff>312615</xdr:colOff>
      <xdr:row>125</xdr:row>
      <xdr:rowOff>169984</xdr:rowOff>
    </xdr:to>
    <xdr:graphicFrame macro="">
      <xdr:nvGraphicFramePr>
        <xdr:cNvPr id="11" name="Chart 10">
          <a:extLst>
            <a:ext uri="{FF2B5EF4-FFF2-40B4-BE49-F238E27FC236}">
              <a16:creationId xmlns:a16="http://schemas.microsoft.com/office/drawing/2014/main" id="{3EECC6E0-3992-1E58-2ECD-C9F7CBF4E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88900</xdr:rowOff>
    </xdr:from>
    <xdr:to>
      <xdr:col>5</xdr:col>
      <xdr:colOff>317500</xdr:colOff>
      <xdr:row>14</xdr:row>
      <xdr:rowOff>101600</xdr:rowOff>
    </xdr:to>
    <xdr:pic>
      <xdr:nvPicPr>
        <xdr:cNvPr id="2" name="Picture 1" descr="Convexity of a Bond | Formula | Duration | Calculation">
          <a:extLst>
            <a:ext uri="{FF2B5EF4-FFF2-40B4-BE49-F238E27FC236}">
              <a16:creationId xmlns:a16="http://schemas.microsoft.com/office/drawing/2014/main" id="{8F6023FA-5CB6-9E48-BB87-D5CCE59D98B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588" t="-1" r="7059" b="71983"/>
        <a:stretch/>
      </xdr:blipFill>
      <xdr:spPr bwMode="auto">
        <a:xfrm>
          <a:off x="0" y="2120900"/>
          <a:ext cx="4445000" cy="82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431800</xdr:colOff>
      <xdr:row>10</xdr:row>
      <xdr:rowOff>12700</xdr:rowOff>
    </xdr:from>
    <xdr:to>
      <xdr:col>9</xdr:col>
      <xdr:colOff>406400</xdr:colOff>
      <xdr:row>15</xdr:row>
      <xdr:rowOff>88900</xdr:rowOff>
    </xdr:to>
    <xdr:pic>
      <xdr:nvPicPr>
        <xdr:cNvPr id="3" name="Picture 2" descr="Convexity of a Bond | Formula | Duration | Calculation">
          <a:extLst>
            <a:ext uri="{FF2B5EF4-FFF2-40B4-BE49-F238E27FC236}">
              <a16:creationId xmlns:a16="http://schemas.microsoft.com/office/drawing/2014/main" id="{C3AC2C24-264D-A94A-8338-72F37673900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41" t="40948" r="34353" b="21983"/>
        <a:stretch/>
      </xdr:blipFill>
      <xdr:spPr bwMode="auto">
        <a:xfrm>
          <a:off x="4559300" y="2044700"/>
          <a:ext cx="3276600" cy="109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406400</xdr:colOff>
      <xdr:row>2</xdr:row>
      <xdr:rowOff>152400</xdr:rowOff>
    </xdr:from>
    <xdr:to>
      <xdr:col>5</xdr:col>
      <xdr:colOff>152400</xdr:colOff>
      <xdr:row>7</xdr:row>
      <xdr:rowOff>63500</xdr:rowOff>
    </xdr:to>
    <xdr:pic>
      <xdr:nvPicPr>
        <xdr:cNvPr id="4" name="Picture 3" descr="Preferred Stocks Live Longer Than Bonds, But Not Always | Seeking Alpha">
          <a:extLst>
            <a:ext uri="{FF2B5EF4-FFF2-40B4-BE49-F238E27FC236}">
              <a16:creationId xmlns:a16="http://schemas.microsoft.com/office/drawing/2014/main" id="{2C96D754-9D25-814F-8778-813898EC3DF2}"/>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334" r="32072" b="74439"/>
        <a:stretch/>
      </xdr:blipFill>
      <xdr:spPr bwMode="auto">
        <a:xfrm>
          <a:off x="406400" y="558800"/>
          <a:ext cx="3873500" cy="92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304800</xdr:colOff>
      <xdr:row>0</xdr:row>
      <xdr:rowOff>0</xdr:rowOff>
    </xdr:from>
    <xdr:to>
      <xdr:col>10</xdr:col>
      <xdr:colOff>254000</xdr:colOff>
      <xdr:row>8</xdr:row>
      <xdr:rowOff>57619</xdr:rowOff>
    </xdr:to>
    <xdr:pic>
      <xdr:nvPicPr>
        <xdr:cNvPr id="5" name="Picture 4" descr="Preferred Stocks Live Longer Than Bonds, But Not Always | Seeking Alpha">
          <a:extLst>
            <a:ext uri="{FF2B5EF4-FFF2-40B4-BE49-F238E27FC236}">
              <a16:creationId xmlns:a16="http://schemas.microsoft.com/office/drawing/2014/main" id="{660942EC-AE1A-D047-B9F6-AEF029B37726}"/>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682" t="49696"/>
        <a:stretch/>
      </xdr:blipFill>
      <xdr:spPr bwMode="auto">
        <a:xfrm>
          <a:off x="4432300" y="0"/>
          <a:ext cx="4076700" cy="1683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165100</xdr:colOff>
      <xdr:row>15</xdr:row>
      <xdr:rowOff>102164</xdr:rowOff>
    </xdr:from>
    <xdr:to>
      <xdr:col>13</xdr:col>
      <xdr:colOff>508000</xdr:colOff>
      <xdr:row>34</xdr:row>
      <xdr:rowOff>76200</xdr:rowOff>
    </xdr:to>
    <xdr:pic>
      <xdr:nvPicPr>
        <xdr:cNvPr id="6" name="Picture 5" descr="Approximate convexity - PrepNuggets">
          <a:extLst>
            <a:ext uri="{FF2B5EF4-FFF2-40B4-BE49-F238E27FC236}">
              <a16:creationId xmlns:a16="http://schemas.microsoft.com/office/drawing/2014/main" id="{53E9568A-2B2E-F5D9-2EE7-67F5520459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100" y="3150164"/>
          <a:ext cx="11239500" cy="3834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8%20Fixed%20Income%20Sec%20Valuation.xlsx"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CDF4-6029-E643-8EF7-682D9ACADB0D}">
  <dimension ref="A1:N128"/>
  <sheetViews>
    <sheetView tabSelected="1" topLeftCell="A98" zoomScale="90" zoomScaleNormal="90" workbookViewId="0">
      <selection activeCell="I107" sqref="I107"/>
    </sheetView>
  </sheetViews>
  <sheetFormatPr defaultColWidth="11" defaultRowHeight="16.3" outlineLevelRow="1"/>
  <cols>
    <col min="1" max="1" width="12" customWidth="1"/>
    <col min="2" max="2" width="7.33203125" customWidth="1"/>
    <col min="3" max="3" width="11.33203125" customWidth="1"/>
    <col min="4" max="4" width="9.44140625" customWidth="1"/>
    <col min="5" max="5" width="9.77734375" customWidth="1"/>
    <col min="6" max="8" width="9.44140625" bestFit="1" customWidth="1"/>
    <col min="9" max="9" width="9.109375" style="3" bestFit="1" customWidth="1"/>
    <col min="10" max="11" width="9.109375" bestFit="1" customWidth="1"/>
    <col min="12" max="12" width="11" customWidth="1"/>
    <col min="13" max="13" width="9.6640625" bestFit="1" customWidth="1"/>
    <col min="14" max="14" width="10.6640625" bestFit="1" customWidth="1"/>
  </cols>
  <sheetData>
    <row r="1" spans="1:7" ht="23.8">
      <c r="A1" s="2" t="s">
        <v>13</v>
      </c>
    </row>
    <row r="2" spans="1:7" ht="17" customHeight="1">
      <c r="A2" s="1" t="s">
        <v>14</v>
      </c>
    </row>
    <row r="3" spans="1:7" outlineLevel="1">
      <c r="B3" s="3">
        <v>1</v>
      </c>
      <c r="C3" s="3" t="s">
        <v>0</v>
      </c>
      <c r="D3" t="s">
        <v>5</v>
      </c>
    </row>
    <row r="4" spans="1:7" outlineLevel="1">
      <c r="B4" s="3">
        <v>2</v>
      </c>
      <c r="C4" s="3" t="s">
        <v>1</v>
      </c>
      <c r="D4" t="s">
        <v>6</v>
      </c>
    </row>
    <row r="5" spans="1:7" outlineLevel="1">
      <c r="B5" s="3">
        <v>3</v>
      </c>
      <c r="C5" s="3" t="s">
        <v>2</v>
      </c>
      <c r="D5" t="s">
        <v>7</v>
      </c>
    </row>
    <row r="6" spans="1:7" outlineLevel="1">
      <c r="B6" s="3">
        <v>4</v>
      </c>
      <c r="C6" s="3" t="s">
        <v>3</v>
      </c>
      <c r="D6" t="s">
        <v>18</v>
      </c>
    </row>
    <row r="7" spans="1:7" outlineLevel="1">
      <c r="B7" s="3">
        <v>5</v>
      </c>
      <c r="C7" s="3" t="s">
        <v>4</v>
      </c>
      <c r="D7" t="s">
        <v>19</v>
      </c>
    </row>
    <row r="8" spans="1:7" ht="11.05" customHeight="1" outlineLevel="1"/>
    <row r="9" spans="1:7" outlineLevel="1">
      <c r="B9" t="s">
        <v>9</v>
      </c>
    </row>
    <row r="10" spans="1:7" outlineLevel="1">
      <c r="B10" t="s">
        <v>8</v>
      </c>
    </row>
    <row r="11" spans="1:7" outlineLevel="1"/>
    <row r="12" spans="1:7">
      <c r="A12" s="1" t="s">
        <v>30</v>
      </c>
    </row>
    <row r="13" spans="1:7" ht="19.05" customHeight="1" outlineLevel="1">
      <c r="F13" s="7" t="s">
        <v>10</v>
      </c>
      <c r="G13" s="8" t="s">
        <v>11</v>
      </c>
    </row>
    <row r="14" spans="1:7" ht="19.05" customHeight="1" outlineLevel="1">
      <c r="F14" s="9" t="s">
        <v>0</v>
      </c>
      <c r="G14" s="10">
        <f>5*2</f>
        <v>10</v>
      </c>
    </row>
    <row r="15" spans="1:7" ht="19.05" customHeight="1" outlineLevel="1">
      <c r="F15" s="11" t="s">
        <v>1</v>
      </c>
      <c r="G15" s="12">
        <f>12%/2</f>
        <v>0.06</v>
      </c>
    </row>
    <row r="16" spans="1:7" ht="19.05" customHeight="1" outlineLevel="1">
      <c r="F16" s="11" t="s">
        <v>2</v>
      </c>
      <c r="G16" s="12" t="s">
        <v>12</v>
      </c>
    </row>
    <row r="17" spans="1:14" ht="19.05" customHeight="1" outlineLevel="1">
      <c r="F17" s="11" t="s">
        <v>3</v>
      </c>
      <c r="G17" s="13">
        <f>10%*G18/2</f>
        <v>50</v>
      </c>
    </row>
    <row r="18" spans="1:14" ht="19.05" customHeight="1" outlineLevel="1">
      <c r="F18" s="14" t="s">
        <v>4</v>
      </c>
      <c r="G18" s="15">
        <v>1000</v>
      </c>
    </row>
    <row r="19" spans="1:14" outlineLevel="1">
      <c r="A19" s="1" t="s">
        <v>31</v>
      </c>
    </row>
    <row r="20" spans="1:14" ht="17" outlineLevel="1" thickBot="1">
      <c r="C20" s="5" t="s">
        <v>32</v>
      </c>
      <c r="D20" s="19">
        <v>44927</v>
      </c>
      <c r="E20" s="19">
        <f>EDATE(D20,6)</f>
        <v>45108</v>
      </c>
      <c r="F20" s="19">
        <f t="shared" ref="F20:M20" si="0">EDATE(E20,6)</f>
        <v>45292</v>
      </c>
      <c r="G20" s="19">
        <f t="shared" si="0"/>
        <v>45474</v>
      </c>
      <c r="H20" s="19">
        <f t="shared" si="0"/>
        <v>45658</v>
      </c>
      <c r="I20" s="19">
        <f t="shared" si="0"/>
        <v>45839</v>
      </c>
      <c r="J20" s="19">
        <f t="shared" si="0"/>
        <v>46023</v>
      </c>
      <c r="K20" s="19">
        <f t="shared" si="0"/>
        <v>46204</v>
      </c>
      <c r="L20" s="19">
        <f t="shared" si="0"/>
        <v>46388</v>
      </c>
      <c r="M20" s="19">
        <f t="shared" si="0"/>
        <v>46569</v>
      </c>
      <c r="N20" s="19">
        <f>EDATE(M20,6)</f>
        <v>46753</v>
      </c>
    </row>
    <row r="21" spans="1:14" outlineLevel="1">
      <c r="C21" t="s">
        <v>16</v>
      </c>
      <c r="E21" s="4">
        <f>$G17</f>
        <v>50</v>
      </c>
      <c r="F21" s="4">
        <f>E21</f>
        <v>50</v>
      </c>
      <c r="G21" s="4">
        <f t="shared" ref="G21:M21" si="1">F21</f>
        <v>50</v>
      </c>
      <c r="H21" s="4">
        <f t="shared" si="1"/>
        <v>50</v>
      </c>
      <c r="I21" s="4">
        <f t="shared" si="1"/>
        <v>50</v>
      </c>
      <c r="J21" s="4">
        <f t="shared" si="1"/>
        <v>50</v>
      </c>
      <c r="K21" s="4">
        <f t="shared" si="1"/>
        <v>50</v>
      </c>
      <c r="L21" s="4">
        <f t="shared" si="1"/>
        <v>50</v>
      </c>
      <c r="M21" s="4">
        <f t="shared" si="1"/>
        <v>50</v>
      </c>
      <c r="N21" s="4">
        <f>G17+G18</f>
        <v>1050</v>
      </c>
    </row>
    <row r="22" spans="1:14" outlineLevel="1"/>
    <row r="23" spans="1:14" outlineLevel="1">
      <c r="A23" t="s">
        <v>23</v>
      </c>
      <c r="C23" s="16" t="s">
        <v>2</v>
      </c>
      <c r="D23" s="6">
        <f>PV(G15,G14,G17,G18)</f>
        <v>-926.39912948585288</v>
      </c>
      <c r="E23" t="s">
        <v>17</v>
      </c>
    </row>
    <row r="24" spans="1:14" outlineLevel="1">
      <c r="A24" t="s">
        <v>20</v>
      </c>
      <c r="C24" s="17" t="s">
        <v>21</v>
      </c>
      <c r="D24" s="6">
        <f>NPV(G15,E21:N21)</f>
        <v>926.39912948585265</v>
      </c>
    </row>
    <row r="25" spans="1:14" outlineLevel="1">
      <c r="A25" t="s">
        <v>25</v>
      </c>
      <c r="C25" s="18" t="s">
        <v>22</v>
      </c>
      <c r="D25" s="21">
        <f>PRICE(D20,N20,10%,12%,100,2)*10</f>
        <v>926.39912948585277</v>
      </c>
      <c r="E25" s="21"/>
      <c r="F25" s="21"/>
      <c r="G25" s="21"/>
      <c r="H25" s="21"/>
      <c r="I25" s="21"/>
      <c r="J25" s="21"/>
      <c r="K25" s="21"/>
      <c r="L25" s="21"/>
      <c r="M25" s="21"/>
      <c r="N25" s="21"/>
    </row>
    <row r="26" spans="1:14" outlineLevel="1">
      <c r="C26" t="s">
        <v>29</v>
      </c>
      <c r="D26" s="28">
        <f>EFFECT(10%,2)</f>
        <v>0.10250000000000004</v>
      </c>
      <c r="E26" s="21"/>
      <c r="F26" s="21"/>
      <c r="G26" s="21"/>
      <c r="H26" s="21"/>
      <c r="I26" s="21"/>
      <c r="J26" s="21"/>
      <c r="K26" s="21"/>
      <c r="L26" s="21"/>
      <c r="M26" s="21"/>
      <c r="N26" s="21"/>
    </row>
    <row r="27" spans="1:14" outlineLevel="1">
      <c r="I27"/>
    </row>
    <row r="28" spans="1:14">
      <c r="A28" s="1" t="s">
        <v>27</v>
      </c>
    </row>
    <row r="29" spans="1:14" ht="17" outlineLevel="1" thickBot="1">
      <c r="A29" s="1"/>
      <c r="C29" s="5" t="s">
        <v>32</v>
      </c>
      <c r="D29" s="19">
        <v>44927</v>
      </c>
      <c r="E29" s="19">
        <f>EDATE(D29,6)</f>
        <v>45108</v>
      </c>
      <c r="F29" s="19">
        <f t="shared" ref="F29:M29" si="2">EDATE(E29,6)</f>
        <v>45292</v>
      </c>
      <c r="G29" s="19">
        <f t="shared" si="2"/>
        <v>45474</v>
      </c>
      <c r="H29" s="19">
        <f t="shared" si="2"/>
        <v>45658</v>
      </c>
      <c r="I29" s="19">
        <f t="shared" si="2"/>
        <v>45839</v>
      </c>
      <c r="J29" s="19">
        <f t="shared" si="2"/>
        <v>46023</v>
      </c>
      <c r="K29" s="19">
        <f t="shared" si="2"/>
        <v>46204</v>
      </c>
      <c r="L29" s="19">
        <f t="shared" si="2"/>
        <v>46388</v>
      </c>
      <c r="M29" s="19">
        <f t="shared" si="2"/>
        <v>46569</v>
      </c>
      <c r="N29" s="19">
        <f>EDATE(M29,6)</f>
        <v>46753</v>
      </c>
    </row>
    <row r="30" spans="1:14" outlineLevel="1">
      <c r="B30" t="s">
        <v>24</v>
      </c>
      <c r="D30" s="21">
        <f>PRICE(D20,$N20,10%,12%,100,2)*10</f>
        <v>926.39912948585277</v>
      </c>
      <c r="E30" s="21">
        <f t="shared" ref="E30:M30" si="3">PRICE(E20,$N20,10%,12%,100,2)*10</f>
        <v>931.98307725500399</v>
      </c>
      <c r="F30" s="21">
        <f t="shared" si="3"/>
        <v>937.90206189030414</v>
      </c>
      <c r="G30" s="21">
        <f t="shared" si="3"/>
        <v>944.17618560372239</v>
      </c>
      <c r="H30" s="21">
        <f t="shared" si="3"/>
        <v>950.82675673994584</v>
      </c>
      <c r="I30" s="21">
        <f t="shared" si="3"/>
        <v>957.87636214434258</v>
      </c>
      <c r="J30" s="21">
        <f t="shared" si="3"/>
        <v>965.34894387300324</v>
      </c>
      <c r="K30" s="21">
        <f t="shared" si="3"/>
        <v>973.26988050538353</v>
      </c>
      <c r="L30" s="21">
        <f t="shared" si="3"/>
        <v>981.66607333570653</v>
      </c>
      <c r="M30" s="21">
        <f t="shared" si="3"/>
        <v>990.56603773584902</v>
      </c>
      <c r="N30" s="41">
        <v>1000</v>
      </c>
    </row>
    <row r="31" spans="1:14" outlineLevel="1"/>
    <row r="32" spans="1:14" outlineLevel="1"/>
    <row r="33" spans="1:14" outlineLevel="1"/>
    <row r="34" spans="1:14" outlineLevel="1"/>
    <row r="35" spans="1:14" outlineLevel="1"/>
    <row r="36" spans="1:14" outlineLevel="1"/>
    <row r="37" spans="1:14" outlineLevel="1"/>
    <row r="38" spans="1:14" outlineLevel="1"/>
    <row r="39" spans="1:14" outlineLevel="1"/>
    <row r="40" spans="1:14" outlineLevel="1"/>
    <row r="41" spans="1:14" outlineLevel="1"/>
    <row r="42" spans="1:14" outlineLevel="1"/>
    <row r="43" spans="1:14" outlineLevel="1"/>
    <row r="44" spans="1:14" outlineLevel="1"/>
    <row r="45" spans="1:14" outlineLevel="1"/>
    <row r="46" spans="1:14">
      <c r="A46" s="1" t="s">
        <v>26</v>
      </c>
    </row>
    <row r="47" spans="1:14" outlineLevel="1">
      <c r="A47" t="s">
        <v>44</v>
      </c>
      <c r="D47" s="22">
        <v>0.08</v>
      </c>
      <c r="E47" s="22">
        <v>8.5000000000000006E-2</v>
      </c>
      <c r="F47" s="22">
        <v>0.09</v>
      </c>
      <c r="G47" s="22">
        <v>9.5000000000000001E-2</v>
      </c>
      <c r="H47" s="24">
        <v>0.1</v>
      </c>
      <c r="I47" s="22">
        <v>0.105</v>
      </c>
      <c r="J47" s="22">
        <v>0.11</v>
      </c>
      <c r="K47" s="22">
        <v>0.115</v>
      </c>
      <c r="L47" s="22">
        <v>0.12</v>
      </c>
      <c r="M47" s="22">
        <v>0.125</v>
      </c>
      <c r="N47" s="22">
        <v>0.13</v>
      </c>
    </row>
    <row r="48" spans="1:14" outlineLevel="1">
      <c r="A48" t="s">
        <v>23</v>
      </c>
      <c r="D48" s="23">
        <f>PRICE($D20,$N20,10%,D47,100,2)*10</f>
        <v>1081.10895779355</v>
      </c>
      <c r="E48" s="23">
        <f t="shared" ref="E48:N48" si="4">PRICE($D20,$N20,10%,E47,100,2)*10</f>
        <v>1060.0816525317866</v>
      </c>
      <c r="F48" s="23">
        <f t="shared" si="4"/>
        <v>1039.5635908855515</v>
      </c>
      <c r="G48" s="23">
        <f t="shared" si="4"/>
        <v>1019.5408691678383</v>
      </c>
      <c r="H48" s="25">
        <f t="shared" si="4"/>
        <v>1000</v>
      </c>
      <c r="I48" s="23">
        <f t="shared" si="4"/>
        <v>980.92789881949341</v>
      </c>
      <c r="J48" s="23">
        <f t="shared" si="4"/>
        <v>962.3118708570554</v>
      </c>
      <c r="K48" s="23">
        <f t="shared" si="4"/>
        <v>944.139598565847</v>
      </c>
      <c r="L48" s="23">
        <f t="shared" si="4"/>
        <v>926.39912948585277</v>
      </c>
      <c r="M48" s="23">
        <f t="shared" si="4"/>
        <v>909.07886452742923</v>
      </c>
      <c r="N48" s="23">
        <f t="shared" si="4"/>
        <v>892.167546658584</v>
      </c>
    </row>
    <row r="49" spans="1:14" outlineLevel="1">
      <c r="A49" t="s">
        <v>28</v>
      </c>
      <c r="D49" s="26">
        <v>1000</v>
      </c>
      <c r="E49" s="26">
        <v>1000</v>
      </c>
      <c r="F49" s="26">
        <v>1000</v>
      </c>
      <c r="G49" s="26">
        <v>1000</v>
      </c>
      <c r="H49" s="26">
        <v>1000</v>
      </c>
      <c r="I49" s="26">
        <v>1000</v>
      </c>
      <c r="J49" s="26">
        <v>1000</v>
      </c>
      <c r="K49" s="26">
        <v>1000</v>
      </c>
      <c r="L49" s="26">
        <v>1000</v>
      </c>
      <c r="M49" s="26">
        <v>1000</v>
      </c>
      <c r="N49" s="26">
        <v>1000</v>
      </c>
    </row>
    <row r="50" spans="1:14" outlineLevel="1"/>
    <row r="51" spans="1:14" outlineLevel="1"/>
    <row r="52" spans="1:14" outlineLevel="1"/>
    <row r="53" spans="1:14" outlineLevel="1"/>
    <row r="54" spans="1:14" outlineLevel="1"/>
    <row r="55" spans="1:14" outlineLevel="1"/>
    <row r="56" spans="1:14" outlineLevel="1"/>
    <row r="57" spans="1:14" outlineLevel="1"/>
    <row r="58" spans="1:14" outlineLevel="1"/>
    <row r="59" spans="1:14" outlineLevel="1"/>
    <row r="60" spans="1:14" outlineLevel="1"/>
    <row r="61" spans="1:14" outlineLevel="1"/>
    <row r="62" spans="1:14" outlineLevel="1"/>
    <row r="63" spans="1:14" outlineLevel="1"/>
    <row r="64" spans="1:14">
      <c r="A64" s="1" t="s">
        <v>45</v>
      </c>
    </row>
    <row r="65" spans="1:14" outlineLevel="1"/>
    <row r="66" spans="1:14" outlineLevel="1"/>
    <row r="67" spans="1:14" outlineLevel="1"/>
    <row r="68" spans="1:14" outlineLevel="1"/>
    <row r="69" spans="1:14" outlineLevel="1">
      <c r="A69" s="29" t="s">
        <v>43</v>
      </c>
    </row>
    <row r="70" spans="1:14" ht="17" outlineLevel="1" thickBot="1">
      <c r="B70" t="s">
        <v>32</v>
      </c>
      <c r="D70" s="19">
        <v>44927</v>
      </c>
      <c r="E70" s="19">
        <f>EDATE(D70,6)</f>
        <v>45108</v>
      </c>
      <c r="F70" s="19">
        <f t="shared" ref="F70:M70" si="5">EDATE(E70,6)</f>
        <v>45292</v>
      </c>
      <c r="G70" s="19">
        <f t="shared" si="5"/>
        <v>45474</v>
      </c>
      <c r="H70" s="19">
        <f t="shared" si="5"/>
        <v>45658</v>
      </c>
      <c r="I70" s="19">
        <f t="shared" si="5"/>
        <v>45839</v>
      </c>
      <c r="J70" s="19">
        <f t="shared" si="5"/>
        <v>46023</v>
      </c>
      <c r="K70" s="19">
        <f t="shared" si="5"/>
        <v>46204</v>
      </c>
      <c r="L70" s="19">
        <f t="shared" si="5"/>
        <v>46388</v>
      </c>
      <c r="M70" s="19">
        <f t="shared" si="5"/>
        <v>46569</v>
      </c>
      <c r="N70" s="19">
        <f>EDATE(M70,6)</f>
        <v>46753</v>
      </c>
    </row>
    <row r="71" spans="1:14" outlineLevel="1">
      <c r="B71" t="s">
        <v>15</v>
      </c>
      <c r="D71" s="30">
        <v>0</v>
      </c>
      <c r="E71" s="30">
        <f>D71+1</f>
        <v>1</v>
      </c>
      <c r="F71" s="30">
        <f t="shared" ref="F71:N71" si="6">E71+1</f>
        <v>2</v>
      </c>
      <c r="G71" s="30">
        <f t="shared" si="6"/>
        <v>3</v>
      </c>
      <c r="H71" s="30">
        <f t="shared" si="6"/>
        <v>4</v>
      </c>
      <c r="I71" s="30">
        <f t="shared" si="6"/>
        <v>5</v>
      </c>
      <c r="J71" s="30">
        <f t="shared" si="6"/>
        <v>6</v>
      </c>
      <c r="K71" s="30">
        <f t="shared" si="6"/>
        <v>7</v>
      </c>
      <c r="L71" s="30">
        <f t="shared" si="6"/>
        <v>8</v>
      </c>
      <c r="M71" s="30">
        <f t="shared" si="6"/>
        <v>9</v>
      </c>
      <c r="N71" s="30">
        <f t="shared" si="6"/>
        <v>10</v>
      </c>
    </row>
    <row r="72" spans="1:14" ht="17" outlineLevel="1" thickBot="1">
      <c r="B72" s="5" t="s">
        <v>33</v>
      </c>
      <c r="C72" s="5"/>
      <c r="D72" s="31">
        <v>0</v>
      </c>
      <c r="E72" s="31">
        <f>D72+0.5</f>
        <v>0.5</v>
      </c>
      <c r="F72" s="31">
        <f t="shared" ref="F72:N72" si="7">E72+0.5</f>
        <v>1</v>
      </c>
      <c r="G72" s="31">
        <f t="shared" si="7"/>
        <v>1.5</v>
      </c>
      <c r="H72" s="31">
        <f t="shared" si="7"/>
        <v>2</v>
      </c>
      <c r="I72" s="31">
        <f t="shared" si="7"/>
        <v>2.5</v>
      </c>
      <c r="J72" s="31">
        <f t="shared" si="7"/>
        <v>3</v>
      </c>
      <c r="K72" s="31">
        <f t="shared" si="7"/>
        <v>3.5</v>
      </c>
      <c r="L72" s="31">
        <f t="shared" si="7"/>
        <v>4</v>
      </c>
      <c r="M72" s="31">
        <f t="shared" si="7"/>
        <v>4.5</v>
      </c>
      <c r="N72" s="31">
        <f t="shared" si="7"/>
        <v>5</v>
      </c>
    </row>
    <row r="73" spans="1:14" outlineLevel="1">
      <c r="B73" t="s">
        <v>16</v>
      </c>
      <c r="E73" s="4">
        <f>G17</f>
        <v>50</v>
      </c>
      <c r="F73" s="4">
        <f>E73</f>
        <v>50</v>
      </c>
      <c r="G73" s="4">
        <f t="shared" ref="G73:M73" si="8">F73</f>
        <v>50</v>
      </c>
      <c r="H73" s="4">
        <f t="shared" si="8"/>
        <v>50</v>
      </c>
      <c r="I73" s="4">
        <f t="shared" si="8"/>
        <v>50</v>
      </c>
      <c r="J73" s="4">
        <f t="shared" si="8"/>
        <v>50</v>
      </c>
      <c r="K73" s="4">
        <f t="shared" si="8"/>
        <v>50</v>
      </c>
      <c r="L73" s="4">
        <f t="shared" si="8"/>
        <v>50</v>
      </c>
      <c r="M73" s="4">
        <f t="shared" si="8"/>
        <v>50</v>
      </c>
      <c r="N73" s="4">
        <f>G17+G18</f>
        <v>1050</v>
      </c>
    </row>
    <row r="74" spans="1:14" outlineLevel="1">
      <c r="B74" t="s">
        <v>34</v>
      </c>
      <c r="E74" s="32">
        <f>E73/(1+$G15)^E71</f>
        <v>47.169811320754718</v>
      </c>
      <c r="F74" s="32">
        <f t="shared" ref="F74:N74" si="9">F73/(1+$G15)^F71</f>
        <v>44.499822000711994</v>
      </c>
      <c r="G74" s="32">
        <f t="shared" si="9"/>
        <v>41.980964151615083</v>
      </c>
      <c r="H74" s="32">
        <f t="shared" si="9"/>
        <v>39.604683161901022</v>
      </c>
      <c r="I74" s="32">
        <f t="shared" si="9"/>
        <v>37.362908643302845</v>
      </c>
      <c r="J74" s="32">
        <f t="shared" si="9"/>
        <v>35.248027021983816</v>
      </c>
      <c r="K74" s="32">
        <f t="shared" si="9"/>
        <v>33.252855681116799</v>
      </c>
      <c r="L74" s="32">
        <f t="shared" si="9"/>
        <v>31.370618567091324</v>
      </c>
      <c r="M74" s="32">
        <f t="shared" si="9"/>
        <v>29.594923176501251</v>
      </c>
      <c r="N74" s="32">
        <f t="shared" si="9"/>
        <v>586.31451576087375</v>
      </c>
    </row>
    <row r="75" spans="1:14" outlineLevel="1">
      <c r="B75" t="s">
        <v>23</v>
      </c>
      <c r="D75" s="33">
        <f>SUM(E74:N74)</f>
        <v>926.39912948585265</v>
      </c>
    </row>
    <row r="76" spans="1:14" outlineLevel="1"/>
    <row r="77" spans="1:14" outlineLevel="1">
      <c r="B77" t="s">
        <v>42</v>
      </c>
      <c r="E77" s="27">
        <f>E74/$D75</f>
        <v>5.0917374400960148E-2</v>
      </c>
      <c r="F77" s="27">
        <f t="shared" ref="F77:G77" si="10">F74/$D75</f>
        <v>4.8035258868830324E-2</v>
      </c>
      <c r="G77" s="27">
        <f t="shared" si="10"/>
        <v>4.5316281951726711E-2</v>
      </c>
      <c r="H77" s="27">
        <f t="shared" ref="H77:N77" si="11">H74/$D75</f>
        <v>4.2751209388421425E-2</v>
      </c>
      <c r="I77" s="27">
        <f t="shared" si="11"/>
        <v>4.0331329611718321E-2</v>
      </c>
      <c r="J77" s="27">
        <f t="shared" si="11"/>
        <v>3.8048424161998419E-2</v>
      </c>
      <c r="K77" s="27">
        <f t="shared" si="11"/>
        <v>3.5894739775470197E-2</v>
      </c>
      <c r="L77" s="27">
        <f t="shared" si="11"/>
        <v>3.386296205233038E-2</v>
      </c>
      <c r="M77" s="27">
        <f t="shared" si="11"/>
        <v>3.1946190615406017E-2</v>
      </c>
      <c r="N77" s="27">
        <f t="shared" si="11"/>
        <v>0.63289622917313804</v>
      </c>
    </row>
    <row r="78" spans="1:14" outlineLevel="1">
      <c r="B78" t="s">
        <v>35</v>
      </c>
      <c r="E78" s="20">
        <f>E77*E72</f>
        <v>2.5458687200480074E-2</v>
      </c>
      <c r="F78" s="20">
        <f t="shared" ref="F78:N78" si="12">F77*F72</f>
        <v>4.8035258868830324E-2</v>
      </c>
      <c r="G78" s="20">
        <f t="shared" si="12"/>
        <v>6.7974422927590067E-2</v>
      </c>
      <c r="H78" s="20">
        <f t="shared" si="12"/>
        <v>8.5502418776842851E-2</v>
      </c>
      <c r="I78" s="20">
        <f t="shared" si="12"/>
        <v>0.1008283240292958</v>
      </c>
      <c r="J78" s="20">
        <f t="shared" si="12"/>
        <v>0.11414527248599526</v>
      </c>
      <c r="K78" s="20">
        <f t="shared" si="12"/>
        <v>0.12563158921414569</v>
      </c>
      <c r="L78" s="20">
        <f t="shared" si="12"/>
        <v>0.13545184820932152</v>
      </c>
      <c r="M78" s="20">
        <f t="shared" si="12"/>
        <v>0.14375785776932709</v>
      </c>
      <c r="N78" s="20">
        <f t="shared" si="12"/>
        <v>3.1644811458656901</v>
      </c>
    </row>
    <row r="79" spans="1:14" outlineLevel="1">
      <c r="A79" s="50" t="s">
        <v>38</v>
      </c>
      <c r="B79" s="35" t="s">
        <v>37</v>
      </c>
      <c r="C79" s="36"/>
      <c r="D79" s="34">
        <f>SUM(E78:N78)</f>
        <v>4.0112668253475192</v>
      </c>
    </row>
    <row r="80" spans="1:14" outlineLevel="1">
      <c r="A80" s="50"/>
      <c r="B80" s="37" t="s">
        <v>36</v>
      </c>
      <c r="C80" s="38"/>
      <c r="D80" s="34">
        <f>D79/(1+G15)</f>
        <v>3.7842139861769049</v>
      </c>
    </row>
    <row r="81" spans="1:14" outlineLevel="1"/>
    <row r="82" spans="1:14" outlineLevel="1">
      <c r="A82" s="50" t="s">
        <v>39</v>
      </c>
      <c r="B82" s="35" t="s">
        <v>37</v>
      </c>
      <c r="C82" s="36"/>
      <c r="D82" s="34">
        <f>DURATION(D70,N70,10%,12%,2)</f>
        <v>4.0112668253475183</v>
      </c>
    </row>
    <row r="83" spans="1:14" outlineLevel="1">
      <c r="A83" s="50"/>
      <c r="B83" s="37" t="s">
        <v>36</v>
      </c>
      <c r="C83" s="38"/>
      <c r="D83" s="34">
        <f>MDURATION(D70,N70,10%,12%,2)</f>
        <v>3.784213986176904</v>
      </c>
    </row>
    <row r="84" spans="1:14" outlineLevel="1">
      <c r="A84" s="40"/>
      <c r="D84" s="20"/>
    </row>
    <row r="85" spans="1:14">
      <c r="A85" s="42" t="s">
        <v>47</v>
      </c>
      <c r="D85" s="20"/>
    </row>
    <row r="86" spans="1:14" outlineLevel="1">
      <c r="A86" s="40"/>
      <c r="D86" s="20"/>
    </row>
    <row r="87" spans="1:14" outlineLevel="1">
      <c r="A87" t="s">
        <v>44</v>
      </c>
      <c r="D87" s="22">
        <v>0.08</v>
      </c>
      <c r="E87" s="22">
        <v>8.5000000000000006E-2</v>
      </c>
      <c r="F87" s="22">
        <v>0.09</v>
      </c>
      <c r="G87" s="22">
        <v>9.5000000000000001E-2</v>
      </c>
      <c r="H87" s="22">
        <v>0.1</v>
      </c>
      <c r="I87" s="22">
        <v>0.105</v>
      </c>
      <c r="J87" s="22">
        <v>0.11</v>
      </c>
      <c r="K87" s="22">
        <v>0.115</v>
      </c>
      <c r="L87" s="47">
        <v>0.12</v>
      </c>
      <c r="M87" s="22">
        <v>0.125</v>
      </c>
      <c r="N87" s="22">
        <v>0.13</v>
      </c>
    </row>
    <row r="88" spans="1:14" outlineLevel="1">
      <c r="A88" t="s">
        <v>48</v>
      </c>
      <c r="D88" s="33">
        <f t="shared" ref="D88:J88" si="13">(1+(E87-D87)*$D79)*E88</f>
        <v>1085.9039031421794</v>
      </c>
      <c r="E88" s="33">
        <f t="shared" si="13"/>
        <v>1064.5528749858834</v>
      </c>
      <c r="F88" s="33">
        <f t="shared" si="13"/>
        <v>1043.6216504623139</v>
      </c>
      <c r="G88" s="33">
        <f t="shared" si="13"/>
        <v>1023.1019753980061</v>
      </c>
      <c r="H88" s="33">
        <f t="shared" si="13"/>
        <v>1002.9857579129448</v>
      </c>
      <c r="I88" s="33">
        <f t="shared" si="13"/>
        <v>983.26506522955253</v>
      </c>
      <c r="J88" s="33">
        <f t="shared" si="13"/>
        <v>963.93212054441892</v>
      </c>
      <c r="K88" s="33">
        <f>(1+(L87-K87)*D79)*L88</f>
        <v>944.9792999615396</v>
      </c>
      <c r="L88" s="43">
        <f>D75</f>
        <v>926.39912948585265</v>
      </c>
      <c r="M88" s="33">
        <f>(1+(L87-M87)*$D79)*L88</f>
        <v>907.8189590101656</v>
      </c>
      <c r="N88" s="33">
        <f>(1+(M87-N87)*$D79)*M88</f>
        <v>889.61143864167059</v>
      </c>
    </row>
    <row r="89" spans="1:14" outlineLevel="1">
      <c r="A89" s="44"/>
      <c r="D89" s="20"/>
    </row>
    <row r="90" spans="1:14" outlineLevel="1">
      <c r="A90" s="40"/>
      <c r="D90" s="20"/>
    </row>
    <row r="91" spans="1:14" outlineLevel="1">
      <c r="A91" s="40"/>
      <c r="D91" s="20"/>
    </row>
    <row r="92" spans="1:14" outlineLevel="1">
      <c r="A92" s="40"/>
      <c r="D92" s="20"/>
    </row>
    <row r="93" spans="1:14" outlineLevel="1">
      <c r="A93" s="40"/>
      <c r="D93" s="20"/>
    </row>
    <row r="94" spans="1:14" outlineLevel="1">
      <c r="A94" s="40"/>
      <c r="D94" s="20"/>
    </row>
    <row r="95" spans="1:14" outlineLevel="1">
      <c r="A95" s="40"/>
      <c r="D95" s="20"/>
    </row>
    <row r="96" spans="1:14" outlineLevel="1">
      <c r="A96" s="40"/>
      <c r="D96" s="20"/>
    </row>
    <row r="97" spans="1:14" outlineLevel="1">
      <c r="A97" s="40"/>
      <c r="D97" s="20"/>
    </row>
    <row r="98" spans="1:14" outlineLevel="1">
      <c r="A98" s="40"/>
      <c r="D98" s="20"/>
    </row>
    <row r="99" spans="1:14" outlineLevel="1">
      <c r="A99" s="40"/>
      <c r="D99" s="20"/>
    </row>
    <row r="100" spans="1:14" outlineLevel="1">
      <c r="A100" s="40"/>
      <c r="D100" s="20"/>
    </row>
    <row r="101" spans="1:14" outlineLevel="1">
      <c r="A101" s="40"/>
      <c r="D101" s="20"/>
    </row>
    <row r="102" spans="1:14" outlineLevel="1"/>
    <row r="103" spans="1:14">
      <c r="A103" s="1" t="s">
        <v>46</v>
      </c>
    </row>
    <row r="104" spans="1:14" outlineLevel="1">
      <c r="B104" t="s">
        <v>41</v>
      </c>
      <c r="E104">
        <f>E77*(E72^2+E72)</f>
        <v>3.8188030800720113E-2</v>
      </c>
      <c r="F104">
        <f t="shared" ref="F104:N104" si="14">F77*(F72^2+F72)</f>
        <v>9.6070517737660649E-2</v>
      </c>
      <c r="G104">
        <f t="shared" si="14"/>
        <v>0.16993605731897515</v>
      </c>
      <c r="H104">
        <f t="shared" si="14"/>
        <v>0.25650725633052857</v>
      </c>
      <c r="I104">
        <f t="shared" si="14"/>
        <v>0.35289913410253532</v>
      </c>
      <c r="J104">
        <f t="shared" si="14"/>
        <v>0.45658108994398106</v>
      </c>
      <c r="K104">
        <f t="shared" si="14"/>
        <v>0.56534215146365563</v>
      </c>
      <c r="L104">
        <f t="shared" si="14"/>
        <v>0.67725924104660762</v>
      </c>
      <c r="M104">
        <f t="shared" si="14"/>
        <v>0.79066821773129892</v>
      </c>
      <c r="N104">
        <f t="shared" si="14"/>
        <v>18.986886875194141</v>
      </c>
    </row>
    <row r="105" spans="1:14" outlineLevel="1">
      <c r="B105" t="s">
        <v>40</v>
      </c>
      <c r="D105" s="39">
        <f>SUM(E104:N104)/(1+G15)^2</f>
        <v>19.92732161949991</v>
      </c>
    </row>
    <row r="106" spans="1:14" outlineLevel="1"/>
    <row r="107" spans="1:14" outlineLevel="1">
      <c r="I107" s="51" t="s">
        <v>53</v>
      </c>
      <c r="J107" s="49"/>
    </row>
    <row r="108" spans="1:14" outlineLevel="1"/>
    <row r="109" spans="1:14">
      <c r="A109" s="42" t="s">
        <v>49</v>
      </c>
    </row>
    <row r="110" spans="1:14" outlineLevel="1">
      <c r="A110" t="s">
        <v>44</v>
      </c>
      <c r="D110" s="22">
        <v>0.08</v>
      </c>
      <c r="E110" s="22">
        <v>8.5000000000000006E-2</v>
      </c>
      <c r="F110" s="22">
        <v>0.09</v>
      </c>
      <c r="G110" s="22">
        <v>9.5000000000000001E-2</v>
      </c>
      <c r="H110" s="22">
        <v>0.1</v>
      </c>
      <c r="I110" s="22">
        <v>0.105</v>
      </c>
      <c r="J110" s="22">
        <v>0.11</v>
      </c>
      <c r="K110" s="22">
        <v>0.115</v>
      </c>
      <c r="L110" s="47">
        <v>0.12</v>
      </c>
      <c r="M110" s="22">
        <v>0.125</v>
      </c>
      <c r="N110" s="22">
        <v>0.13</v>
      </c>
    </row>
    <row r="111" spans="1:14" outlineLevel="1">
      <c r="A111" t="s">
        <v>50</v>
      </c>
      <c r="D111" s="46">
        <f t="shared" ref="D111:J111" si="15">(-$D82*(D110-E110)+1/2*$D105*(D110-E110)^2)</f>
        <v>2.0305425646981359E-2</v>
      </c>
      <c r="E111" s="46">
        <f t="shared" si="15"/>
        <v>2.03054256469813E-2</v>
      </c>
      <c r="F111" s="46">
        <f t="shared" si="15"/>
        <v>2.0305425646981359E-2</v>
      </c>
      <c r="G111" s="46">
        <f t="shared" si="15"/>
        <v>2.0305425646981359E-2</v>
      </c>
      <c r="H111" s="46">
        <f t="shared" si="15"/>
        <v>2.03054256469813E-2</v>
      </c>
      <c r="I111" s="46">
        <f t="shared" si="15"/>
        <v>2.0305425646981359E-2</v>
      </c>
      <c r="J111" s="46">
        <f t="shared" si="15"/>
        <v>2.0305425646981359E-2</v>
      </c>
      <c r="K111" s="46">
        <f>(-$D82*(K110-L110)+1/2*$D105*(K110-L110)^2)</f>
        <v>2.03054256469813E-2</v>
      </c>
      <c r="L111" s="46">
        <v>0</v>
      </c>
      <c r="M111" s="46">
        <f>(-$D82*(M110-L110)+1/2*$D105*(M110-L110)^2)</f>
        <v>-1.9807242606493858E-2</v>
      </c>
      <c r="N111" s="46">
        <f>(-$D82*(N110-M110)+1/2*$D105*(N110-M110)^2)</f>
        <v>-1.9807242606493858E-2</v>
      </c>
    </row>
    <row r="112" spans="1:14" outlineLevel="1">
      <c r="A112" t="s">
        <v>51</v>
      </c>
      <c r="D112" s="48">
        <f t="shared" ref="D112:J112" si="16">E112*(1+D111)</f>
        <v>1088.0270858684985</v>
      </c>
      <c r="E112" s="48">
        <f t="shared" si="16"/>
        <v>1066.3739097325433</v>
      </c>
      <c r="F112" s="48">
        <f t="shared" si="16"/>
        <v>1045.151660402423</v>
      </c>
      <c r="G112" s="48">
        <f t="shared" si="16"/>
        <v>1024.3517618655085</v>
      </c>
      <c r="H112" s="48">
        <f t="shared" si="16"/>
        <v>1003.9658087831507</v>
      </c>
      <c r="I112" s="48">
        <f t="shared" si="16"/>
        <v>983.98556309404171</v>
      </c>
      <c r="J112" s="48">
        <f t="shared" si="16"/>
        <v>964.40295068517435</v>
      </c>
      <c r="K112" s="48">
        <f>L112*(1+K111)</f>
        <v>945.21005812905582</v>
      </c>
      <c r="L112" s="48">
        <f>L88</f>
        <v>926.39912948585265</v>
      </c>
      <c r="M112" s="48">
        <f>L112*(1+M111)</f>
        <v>908.0497171776816</v>
      </c>
      <c r="N112" s="48">
        <f t="shared" ref="N112" si="17">M112*(1+N111)</f>
        <v>890.06375613078512</v>
      </c>
    </row>
    <row r="113" spans="5:5" outlineLevel="1"/>
    <row r="114" spans="5:5" outlineLevel="1"/>
    <row r="115" spans="5:5" outlineLevel="1"/>
    <row r="116" spans="5:5" outlineLevel="1"/>
    <row r="117" spans="5:5" outlineLevel="1"/>
    <row r="118" spans="5:5" outlineLevel="1"/>
    <row r="119" spans="5:5" outlineLevel="1"/>
    <row r="120" spans="5:5" outlineLevel="1"/>
    <row r="121" spans="5:5" outlineLevel="1"/>
    <row r="122" spans="5:5" outlineLevel="1"/>
    <row r="123" spans="5:5" ht="17" customHeight="1" outlineLevel="1"/>
    <row r="124" spans="5:5" outlineLevel="1"/>
    <row r="125" spans="5:5" outlineLevel="1"/>
    <row r="126" spans="5:5" outlineLevel="1"/>
    <row r="127" spans="5:5" outlineLevel="1"/>
    <row r="128" spans="5:5" outlineLevel="1">
      <c r="E128" s="45" t="s">
        <v>52</v>
      </c>
    </row>
  </sheetData>
  <mergeCells count="2">
    <mergeCell ref="A79:A80"/>
    <mergeCell ref="A82:A83"/>
  </mergeCells>
  <hyperlinks>
    <hyperlink ref="I107" r:id="rId1" xr:uid="{12BC5CCE-95BE-48D5-BF76-7D254D7009F5}"/>
  </hyperlinks>
  <pageMargins left="0.7" right="0.7" top="0.75" bottom="0.75" header="0.3" footer="0.3"/>
  <pageSetup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92FC-F007-FC41-A6F0-C02E1C4F240A}">
  <dimension ref="A1"/>
  <sheetViews>
    <sheetView zoomScale="80" zoomScaleNormal="80" workbookViewId="0">
      <selection activeCell="M9" sqref="M9"/>
    </sheetView>
  </sheetViews>
  <sheetFormatPr defaultColWidth="11" defaultRowHeight="16.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Bonds</vt:lpstr>
      <vt:lpstr>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Elshahat, Ahmed</dc:creator>
  <cp:lastModifiedBy>josh ehiemere</cp:lastModifiedBy>
  <dcterms:created xsi:type="dcterms:W3CDTF">2022-11-30T16:47:21Z</dcterms:created>
  <dcterms:modified xsi:type="dcterms:W3CDTF">2026-02-06T01:07:45Z</dcterms:modified>
</cp:coreProperties>
</file>